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jfso\Documents\GitHub\witness\Software\Witness\softwarev1\"/>
    </mc:Choice>
  </mc:AlternateContent>
  <xr:revisionPtr revIDLastSave="0" documentId="13_ncr:1_{49B7C6C8-F1E7-4447-A676-7A3B87535FDF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Fields" sheetId="1" r:id="rId1"/>
    <sheet name="LoRa packets" sheetId="2" r:id="rId2"/>
    <sheet name="Can pack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45" i="1"/>
  <c r="G46" i="1"/>
  <c r="G47" i="1"/>
  <c r="G48" i="1"/>
  <c r="G49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9" i="1"/>
  <c r="G41" i="1"/>
  <c r="G42" i="1"/>
  <c r="G43" i="1"/>
  <c r="G44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G3" i="1"/>
  <c r="G6" i="1"/>
  <c r="G7" i="1"/>
  <c r="G8" i="1"/>
  <c r="G5" i="1"/>
  <c r="G9" i="1"/>
  <c r="G2" i="1"/>
</calcChain>
</file>

<file path=xl/sharedStrings.xml><?xml version="1.0" encoding="utf-8"?>
<sst xmlns="http://schemas.openxmlformats.org/spreadsheetml/2006/main" count="246" uniqueCount="97">
  <si>
    <t>Field</t>
  </si>
  <si>
    <t>B</t>
  </si>
  <si>
    <t>Filtered Accel X</t>
  </si>
  <si>
    <t>Filtered Accel Y</t>
  </si>
  <si>
    <t>Filtered Accel Z</t>
  </si>
  <si>
    <t>orientation quat x</t>
  </si>
  <si>
    <t>orientation quat y</t>
  </si>
  <si>
    <t>orientation quat z</t>
  </si>
  <si>
    <t>orientation quat w</t>
  </si>
  <si>
    <t>position x</t>
  </si>
  <si>
    <t>position y</t>
  </si>
  <si>
    <t>position z</t>
  </si>
  <si>
    <t>velocty x</t>
  </si>
  <si>
    <t>velocity y</t>
  </si>
  <si>
    <t>velocity z</t>
  </si>
  <si>
    <t>lat</t>
  </si>
  <si>
    <t>lon</t>
  </si>
  <si>
    <t>gps time</t>
  </si>
  <si>
    <t>Ch1 current</t>
  </si>
  <si>
    <t>Ch2 current</t>
  </si>
  <si>
    <t>Ch3 current</t>
  </si>
  <si>
    <t>Size (uncompressed)</t>
  </si>
  <si>
    <t>Size (compressed)</t>
  </si>
  <si>
    <t>iris uptime</t>
  </si>
  <si>
    <t>iris status</t>
  </si>
  <si>
    <t>Packet ID (hex)</t>
  </si>
  <si>
    <t>Name</t>
  </si>
  <si>
    <t>Length</t>
  </si>
  <si>
    <t>Data desc</t>
  </si>
  <si>
    <t>Notes</t>
  </si>
  <si>
    <t>0x01</t>
  </si>
  <si>
    <t>Sensors</t>
  </si>
  <si>
    <t>Just high rate sensor data, 10hz down</t>
  </si>
  <si>
    <t>0x02</t>
  </si>
  <si>
    <t>State</t>
  </si>
  <si>
    <t>Estimated state and gps state, 2hz?</t>
  </si>
  <si>
    <t>0x03</t>
  </si>
  <si>
    <t>Camera</t>
  </si>
  <si>
    <t>Camera sense data, 1hz</t>
  </si>
  <si>
    <t>0xFF</t>
  </si>
  <si>
    <t>Heartbeat</t>
  </si>
  <si>
    <t>status, Uptime</t>
  </si>
  <si>
    <t>is the ground station alive</t>
  </si>
  <si>
    <t>LoRa packets use the compressed field sizes</t>
  </si>
  <si>
    <t>CAN packets use the full field sizes</t>
  </si>
  <si>
    <t>LSM6 low accel x</t>
  </si>
  <si>
    <t>LSM6 low accel y</t>
  </si>
  <si>
    <t>LSM6 low accel z</t>
  </si>
  <si>
    <t>LSM6 temp</t>
  </si>
  <si>
    <t>LSM6 high accel x</t>
  </si>
  <si>
    <t>LSM6 high accel y</t>
  </si>
  <si>
    <t>LSM6 high accel z</t>
  </si>
  <si>
    <t>LSM6 gyro x</t>
  </si>
  <si>
    <t>LSM6 gyro y</t>
  </si>
  <si>
    <t>LSM6 gyro z</t>
  </si>
  <si>
    <t>MS5607 Pressure</t>
  </si>
  <si>
    <t>MS5607 Temp</t>
  </si>
  <si>
    <t>lsm6 temp</t>
  </si>
  <si>
    <t>gps alt</t>
  </si>
  <si>
    <t>witness battery voltage</t>
  </si>
  <si>
    <t>iris battery voltage</t>
  </si>
  <si>
    <t>Source</t>
  </si>
  <si>
    <t>Source board</t>
  </si>
  <si>
    <t>Category</t>
  </si>
  <si>
    <t>Iris upkeep</t>
  </si>
  <si>
    <t>Witness upkeep</t>
  </si>
  <si>
    <t>Raw sensors</t>
  </si>
  <si>
    <t>Filtered Estimations</t>
  </si>
  <si>
    <t>Iris sensing</t>
  </si>
  <si>
    <t>Witness Status</t>
  </si>
  <si>
    <t>Witness Uptime</t>
  </si>
  <si>
    <t>Witness</t>
  </si>
  <si>
    <t>Iris</t>
  </si>
  <si>
    <t>iris mcu temp</t>
  </si>
  <si>
    <t>witness mcu temp</t>
  </si>
  <si>
    <t xml:space="preserve"> IRIS status, IRIS uptime, 4x current sense</t>
  </si>
  <si>
    <t>ground station status, ground station Uptime</t>
  </si>
  <si>
    <t>fc status, fc uptime, 3x filtered accel,3x gyro,</t>
  </si>
  <si>
    <t>MS5607 Alt</t>
  </si>
  <si>
    <t>0x05</t>
  </si>
  <si>
    <t>Command</t>
  </si>
  <si>
    <t>Status, uptime, command</t>
  </si>
  <si>
    <t>command</t>
  </si>
  <si>
    <t>general</t>
  </si>
  <si>
    <t>Any</t>
  </si>
  <si>
    <t>fc Status, fc uptime, Orientation quaternion , position vector, Velocity vector, Lat/lon, GPS alt, baro alt, FC battery voltage</t>
  </si>
  <si>
    <t>FC status, FC uptime, IRIS status, IRIS uptime, current sense, IRIS battery voltage</t>
  </si>
  <si>
    <t>sending commands from the ground station to the board</t>
  </si>
  <si>
    <t>ms</t>
  </si>
  <si>
    <t>100 mV/count</t>
  </si>
  <si>
    <t xml:space="preserve">float multiplied by 10000 </t>
  </si>
  <si>
    <t>unix time stamp</t>
  </si>
  <si>
    <t>Discrete bits</t>
  </si>
  <si>
    <t>format (compressed)</t>
  </si>
  <si>
    <t>data type</t>
  </si>
  <si>
    <t>unsigned integer</t>
  </si>
  <si>
    <t>16 bit flags that can be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</si>
</sst>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0" fillId="2" borderId="0" xfId="0" applyFill="1"/>
    <xf numFmtId="0" fontId="3" fillId="3" borderId="0" xfId="0" applyFont="1" applyFill="1"/>
    <xf numFmtId="0" fontId="0" fillId="4" borderId="0" xfId="0" applyFill="1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right" wrapText="1"/>
    </xf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2">
    <dxf>
      <fill>
        <patternFill>
          <bgColor rgb="FF6699FF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H11" sqref="H11"/>
    </sheetView>
  </sheetViews>
  <sheetFormatPr defaultRowHeight="20" customHeight="1"/>
  <cols>
    <col min="1" max="2" width="26.453125" customWidth="1"/>
    <col min="3" max="3" width="21.36328125" customWidth="1"/>
    <col min="5" max="5" width="19" customWidth="1"/>
    <col min="7" max="7" width="20.453125" customWidth="1"/>
    <col min="8" max="8" width="22.36328125" customWidth="1"/>
    <col min="9" max="9" width="22.54296875" customWidth="1"/>
    <col min="12" max="12" width="17.36328125" customWidth="1"/>
  </cols>
  <sheetData>
    <row r="1" spans="1:13" ht="20" customHeight="1" thickBot="1">
      <c r="A1" s="1" t="s">
        <v>0</v>
      </c>
      <c r="B1" s="1" t="s">
        <v>63</v>
      </c>
      <c r="C1" s="1" t="s">
        <v>21</v>
      </c>
      <c r="D1" s="1"/>
      <c r="E1" t="s">
        <v>22</v>
      </c>
      <c r="G1" s="7" t="s">
        <v>62</v>
      </c>
      <c r="H1" s="7" t="s">
        <v>94</v>
      </c>
      <c r="I1" s="7" t="s">
        <v>93</v>
      </c>
      <c r="L1" t="s">
        <v>63</v>
      </c>
      <c r="M1" t="s">
        <v>61</v>
      </c>
    </row>
    <row r="2" spans="1:13" ht="20" customHeight="1" thickBot="1">
      <c r="A2" s="1" t="s">
        <v>69</v>
      </c>
      <c r="B2" s="1" t="s">
        <v>65</v>
      </c>
      <c r="C2" s="2">
        <v>2</v>
      </c>
      <c r="D2" s="1" t="s">
        <v>1</v>
      </c>
      <c r="E2">
        <v>2</v>
      </c>
      <c r="F2" t="s">
        <v>1</v>
      </c>
      <c r="G2" t="str">
        <f t="shared" ref="G2:G37" si="0">VLOOKUP(B2,L:M,2,FALSE)</f>
        <v>Witness</v>
      </c>
      <c r="H2" t="s">
        <v>92</v>
      </c>
      <c r="I2" t="s">
        <v>96</v>
      </c>
      <c r="L2" s="8" t="s">
        <v>65</v>
      </c>
      <c r="M2" s="10" t="s">
        <v>71</v>
      </c>
    </row>
    <row r="3" spans="1:13" ht="20" customHeight="1" thickBot="1">
      <c r="A3" s="1" t="s">
        <v>70</v>
      </c>
      <c r="B3" s="1" t="s">
        <v>65</v>
      </c>
      <c r="C3" s="2">
        <v>4</v>
      </c>
      <c r="D3" s="1" t="s">
        <v>1</v>
      </c>
      <c r="E3">
        <v>4</v>
      </c>
      <c r="F3" t="s">
        <v>1</v>
      </c>
      <c r="G3" t="str">
        <f t="shared" si="0"/>
        <v>Witness</v>
      </c>
      <c r="H3" t="s">
        <v>95</v>
      </c>
      <c r="I3" t="s">
        <v>88</v>
      </c>
      <c r="L3" s="9" t="s">
        <v>64</v>
      </c>
      <c r="M3" t="s">
        <v>72</v>
      </c>
    </row>
    <row r="4" spans="1:13" ht="20" customHeight="1" thickBot="1">
      <c r="A4" s="5" t="s">
        <v>74</v>
      </c>
      <c r="B4" s="1" t="s">
        <v>65</v>
      </c>
      <c r="G4" t="str">
        <f t="shared" si="0"/>
        <v>Witness</v>
      </c>
      <c r="L4" t="s">
        <v>66</v>
      </c>
      <c r="M4" t="s">
        <v>71</v>
      </c>
    </row>
    <row r="5" spans="1:13" ht="20" customHeight="1" thickBot="1">
      <c r="A5" s="5" t="s">
        <v>59</v>
      </c>
      <c r="B5" s="1" t="s">
        <v>65</v>
      </c>
      <c r="C5" s="6">
        <v>2</v>
      </c>
      <c r="D5" s="5" t="s">
        <v>1</v>
      </c>
      <c r="E5" s="6">
        <v>1</v>
      </c>
      <c r="F5" s="5" t="s">
        <v>1</v>
      </c>
      <c r="G5" t="str">
        <f t="shared" si="0"/>
        <v>Witness</v>
      </c>
      <c r="I5" s="17" t="s">
        <v>89</v>
      </c>
      <c r="L5" t="s">
        <v>67</v>
      </c>
      <c r="M5" t="s">
        <v>71</v>
      </c>
    </row>
    <row r="6" spans="1:13" ht="20" customHeight="1" thickBot="1">
      <c r="A6" s="1" t="s">
        <v>23</v>
      </c>
      <c r="B6" s="1" t="s">
        <v>64</v>
      </c>
      <c r="C6" s="2">
        <v>4</v>
      </c>
      <c r="D6" s="1" t="s">
        <v>1</v>
      </c>
      <c r="E6">
        <v>4</v>
      </c>
      <c r="F6" t="s">
        <v>1</v>
      </c>
      <c r="G6" t="str">
        <f t="shared" si="0"/>
        <v>Iris</v>
      </c>
      <c r="L6" t="s">
        <v>68</v>
      </c>
      <c r="M6" t="s">
        <v>72</v>
      </c>
    </row>
    <row r="7" spans="1:13" ht="20" customHeight="1" thickBot="1">
      <c r="A7" s="1" t="s">
        <v>24</v>
      </c>
      <c r="B7" s="1" t="s">
        <v>64</v>
      </c>
      <c r="C7" s="2">
        <v>2</v>
      </c>
      <c r="D7" s="1" t="s">
        <v>1</v>
      </c>
      <c r="E7">
        <v>2</v>
      </c>
      <c r="F7" t="s">
        <v>1</v>
      </c>
      <c r="G7" t="str">
        <f t="shared" si="0"/>
        <v>Iris</v>
      </c>
      <c r="H7" t="s">
        <v>92</v>
      </c>
      <c r="I7" t="s">
        <v>96</v>
      </c>
    </row>
    <row r="8" spans="1:13" ht="20" customHeight="1" thickBot="1">
      <c r="A8" s="1" t="s">
        <v>73</v>
      </c>
      <c r="B8" s="1" t="s">
        <v>64</v>
      </c>
      <c r="C8" s="2">
        <v>2</v>
      </c>
      <c r="D8" s="1" t="s">
        <v>1</v>
      </c>
      <c r="E8">
        <v>1</v>
      </c>
      <c r="F8" t="s">
        <v>1</v>
      </c>
      <c r="G8" t="str">
        <f t="shared" si="0"/>
        <v>Iris</v>
      </c>
      <c r="H8" t="s">
        <v>95</v>
      </c>
      <c r="I8" t="s">
        <v>88</v>
      </c>
    </row>
    <row r="9" spans="1:13" ht="20" customHeight="1" thickBot="1">
      <c r="A9" s="5" t="s">
        <v>60</v>
      </c>
      <c r="B9" s="1" t="s">
        <v>64</v>
      </c>
      <c r="C9" s="6">
        <v>2</v>
      </c>
      <c r="D9" s="5" t="s">
        <v>1</v>
      </c>
      <c r="E9" s="6">
        <v>1</v>
      </c>
      <c r="F9" s="5" t="s">
        <v>1</v>
      </c>
      <c r="G9" t="str">
        <f t="shared" si="0"/>
        <v>Iris</v>
      </c>
      <c r="I9" s="17" t="s">
        <v>89</v>
      </c>
    </row>
    <row r="10" spans="1:13" ht="20" customHeight="1" thickBot="1">
      <c r="B10" s="1"/>
      <c r="G10" t="e">
        <f t="shared" si="0"/>
        <v>#N/A</v>
      </c>
    </row>
    <row r="11" spans="1:13" ht="20" customHeight="1" thickBot="1">
      <c r="A11" s="1" t="s">
        <v>2</v>
      </c>
      <c r="B11" s="1" t="s">
        <v>67</v>
      </c>
      <c r="C11" s="2">
        <v>2</v>
      </c>
      <c r="D11" s="1" t="s">
        <v>1</v>
      </c>
      <c r="E11">
        <v>2</v>
      </c>
      <c r="F11" t="s">
        <v>1</v>
      </c>
      <c r="G11" t="str">
        <f t="shared" si="0"/>
        <v>Witness</v>
      </c>
    </row>
    <row r="12" spans="1:13" ht="20" customHeight="1" thickBot="1">
      <c r="A12" s="1" t="s">
        <v>3</v>
      </c>
      <c r="B12" s="1" t="s">
        <v>67</v>
      </c>
      <c r="C12" s="2">
        <v>2</v>
      </c>
      <c r="D12" s="1" t="s">
        <v>1</v>
      </c>
      <c r="E12">
        <v>2</v>
      </c>
      <c r="F12" t="s">
        <v>1</v>
      </c>
      <c r="G12" t="str">
        <f t="shared" si="0"/>
        <v>Witness</v>
      </c>
    </row>
    <row r="13" spans="1:13" ht="20" customHeight="1" thickBot="1">
      <c r="A13" s="1" t="s">
        <v>4</v>
      </c>
      <c r="B13" s="1" t="s">
        <v>67</v>
      </c>
      <c r="C13" s="2">
        <v>2</v>
      </c>
      <c r="D13" s="1" t="s">
        <v>1</v>
      </c>
      <c r="E13">
        <v>2</v>
      </c>
      <c r="F13" t="s">
        <v>1</v>
      </c>
      <c r="G13" t="str">
        <f t="shared" si="0"/>
        <v>Witness</v>
      </c>
    </row>
    <row r="14" spans="1:13" ht="20" customHeight="1" thickBot="1">
      <c r="A14" s="1" t="s">
        <v>5</v>
      </c>
      <c r="B14" s="1" t="s">
        <v>67</v>
      </c>
      <c r="C14" s="2">
        <v>4</v>
      </c>
      <c r="D14" s="1" t="s">
        <v>1</v>
      </c>
      <c r="E14">
        <v>3</v>
      </c>
      <c r="F14" t="s">
        <v>1</v>
      </c>
      <c r="G14" t="str">
        <f t="shared" si="0"/>
        <v>Witness</v>
      </c>
    </row>
    <row r="15" spans="1:13" ht="20" customHeight="1" thickBot="1">
      <c r="A15" s="1" t="s">
        <v>6</v>
      </c>
      <c r="B15" s="1" t="s">
        <v>67</v>
      </c>
      <c r="C15" s="2">
        <v>4</v>
      </c>
      <c r="D15" s="1" t="s">
        <v>1</v>
      </c>
      <c r="E15">
        <v>3</v>
      </c>
      <c r="F15" t="s">
        <v>1</v>
      </c>
      <c r="G15" t="str">
        <f t="shared" si="0"/>
        <v>Witness</v>
      </c>
    </row>
    <row r="16" spans="1:13" ht="20" customHeight="1" thickBot="1">
      <c r="A16" s="1" t="s">
        <v>7</v>
      </c>
      <c r="B16" s="1" t="s">
        <v>67</v>
      </c>
      <c r="C16" s="2">
        <v>4</v>
      </c>
      <c r="D16" s="1" t="s">
        <v>1</v>
      </c>
      <c r="E16">
        <v>3</v>
      </c>
      <c r="F16" t="s">
        <v>1</v>
      </c>
      <c r="G16" t="str">
        <f t="shared" si="0"/>
        <v>Witness</v>
      </c>
    </row>
    <row r="17" spans="1:7" ht="20" customHeight="1" thickBot="1">
      <c r="A17" s="1" t="s">
        <v>8</v>
      </c>
      <c r="B17" s="1" t="s">
        <v>67</v>
      </c>
      <c r="C17" s="2">
        <v>4</v>
      </c>
      <c r="D17" s="1" t="s">
        <v>1</v>
      </c>
      <c r="E17">
        <v>3</v>
      </c>
      <c r="F17" t="s">
        <v>1</v>
      </c>
      <c r="G17" t="str">
        <f t="shared" si="0"/>
        <v>Witness</v>
      </c>
    </row>
    <row r="18" spans="1:7" ht="20" customHeight="1" thickBot="1">
      <c r="A18" s="1" t="s">
        <v>9</v>
      </c>
      <c r="B18" s="1" t="s">
        <v>67</v>
      </c>
      <c r="C18" s="2">
        <v>4</v>
      </c>
      <c r="D18" s="1" t="s">
        <v>1</v>
      </c>
      <c r="E18">
        <v>3</v>
      </c>
      <c r="F18" t="s">
        <v>1</v>
      </c>
      <c r="G18" t="str">
        <f t="shared" si="0"/>
        <v>Witness</v>
      </c>
    </row>
    <row r="19" spans="1:7" ht="20" customHeight="1" thickBot="1">
      <c r="A19" s="1" t="s">
        <v>10</v>
      </c>
      <c r="B19" s="1" t="s">
        <v>67</v>
      </c>
      <c r="C19" s="2">
        <v>4</v>
      </c>
      <c r="D19" s="1" t="s">
        <v>1</v>
      </c>
      <c r="E19">
        <v>3</v>
      </c>
      <c r="F19" t="s">
        <v>1</v>
      </c>
      <c r="G19" t="str">
        <f t="shared" si="0"/>
        <v>Witness</v>
      </c>
    </row>
    <row r="20" spans="1:7" ht="20" customHeight="1" thickBot="1">
      <c r="A20" s="1" t="s">
        <v>11</v>
      </c>
      <c r="B20" s="1" t="s">
        <v>67</v>
      </c>
      <c r="C20" s="2">
        <v>4</v>
      </c>
      <c r="D20" s="1" t="s">
        <v>1</v>
      </c>
      <c r="E20">
        <v>3</v>
      </c>
      <c r="F20" t="s">
        <v>1</v>
      </c>
      <c r="G20" t="str">
        <f t="shared" si="0"/>
        <v>Witness</v>
      </c>
    </row>
    <row r="21" spans="1:7" ht="20" customHeight="1" thickBot="1">
      <c r="A21" s="1" t="s">
        <v>12</v>
      </c>
      <c r="B21" s="1" t="s">
        <v>67</v>
      </c>
      <c r="C21" s="2">
        <v>4</v>
      </c>
      <c r="D21" s="1" t="s">
        <v>1</v>
      </c>
      <c r="E21">
        <v>2</v>
      </c>
      <c r="F21" t="s">
        <v>1</v>
      </c>
      <c r="G21" t="str">
        <f t="shared" si="0"/>
        <v>Witness</v>
      </c>
    </row>
    <row r="22" spans="1:7" ht="20" customHeight="1" thickBot="1">
      <c r="A22" s="1" t="s">
        <v>13</v>
      </c>
      <c r="B22" s="1" t="s">
        <v>67</v>
      </c>
      <c r="C22" s="2">
        <v>4</v>
      </c>
      <c r="D22" s="1" t="s">
        <v>1</v>
      </c>
      <c r="E22">
        <v>2</v>
      </c>
      <c r="F22" t="s">
        <v>1</v>
      </c>
      <c r="G22" t="str">
        <f t="shared" si="0"/>
        <v>Witness</v>
      </c>
    </row>
    <row r="23" spans="1:7" ht="20" customHeight="1" thickBot="1">
      <c r="A23" s="1" t="s">
        <v>14</v>
      </c>
      <c r="B23" s="1" t="s">
        <v>67</v>
      </c>
      <c r="C23" s="2">
        <v>4</v>
      </c>
      <c r="D23" s="1" t="s">
        <v>1</v>
      </c>
      <c r="E23">
        <v>2</v>
      </c>
      <c r="F23" t="s">
        <v>1</v>
      </c>
      <c r="G23" t="str">
        <f t="shared" si="0"/>
        <v>Witness</v>
      </c>
    </row>
    <row r="24" spans="1:7" ht="20" customHeight="1" thickBot="1">
      <c r="B24" s="1"/>
      <c r="G24" t="e">
        <f t="shared" si="0"/>
        <v>#N/A</v>
      </c>
    </row>
    <row r="25" spans="1:7" ht="20" customHeight="1" thickBot="1">
      <c r="B25" s="1"/>
      <c r="G25" t="e">
        <f t="shared" si="0"/>
        <v>#N/A</v>
      </c>
    </row>
    <row r="26" spans="1:7" ht="20" customHeight="1" thickBot="1">
      <c r="A26" s="1" t="s">
        <v>45</v>
      </c>
      <c r="B26" s="1" t="s">
        <v>66</v>
      </c>
      <c r="C26" s="2">
        <v>2</v>
      </c>
      <c r="D26" s="1" t="s">
        <v>1</v>
      </c>
      <c r="E26" s="2">
        <v>2</v>
      </c>
      <c r="F26" s="1" t="s">
        <v>1</v>
      </c>
      <c r="G26" t="str">
        <f t="shared" si="0"/>
        <v>Witness</v>
      </c>
    </row>
    <row r="27" spans="1:7" ht="20" customHeight="1" thickBot="1">
      <c r="A27" s="1" t="s">
        <v>46</v>
      </c>
      <c r="B27" s="1" t="s">
        <v>66</v>
      </c>
      <c r="C27" s="2">
        <v>2</v>
      </c>
      <c r="D27" s="1" t="s">
        <v>1</v>
      </c>
      <c r="E27" s="2">
        <v>2</v>
      </c>
      <c r="F27" s="1" t="s">
        <v>1</v>
      </c>
      <c r="G27" t="str">
        <f t="shared" si="0"/>
        <v>Witness</v>
      </c>
    </row>
    <row r="28" spans="1:7" ht="20" customHeight="1" thickBot="1">
      <c r="A28" s="1" t="s">
        <v>47</v>
      </c>
      <c r="B28" s="1" t="s">
        <v>66</v>
      </c>
      <c r="C28" s="2">
        <v>2</v>
      </c>
      <c r="D28" s="1" t="s">
        <v>1</v>
      </c>
      <c r="E28" s="2">
        <v>2</v>
      </c>
      <c r="F28" s="1" t="s">
        <v>1</v>
      </c>
      <c r="G28" t="str">
        <f t="shared" si="0"/>
        <v>Witness</v>
      </c>
    </row>
    <row r="29" spans="1:7" ht="20" customHeight="1" thickBot="1">
      <c r="A29" s="1" t="s">
        <v>48</v>
      </c>
      <c r="B29" s="1" t="s">
        <v>66</v>
      </c>
      <c r="C29" s="2">
        <v>2</v>
      </c>
      <c r="D29" s="1" t="s">
        <v>1</v>
      </c>
      <c r="E29" s="2">
        <v>2</v>
      </c>
      <c r="F29" s="1" t="s">
        <v>1</v>
      </c>
      <c r="G29" t="str">
        <f t="shared" si="0"/>
        <v>Witness</v>
      </c>
    </row>
    <row r="30" spans="1:7" ht="20" customHeight="1" thickBot="1">
      <c r="A30" s="1" t="s">
        <v>49</v>
      </c>
      <c r="B30" s="1" t="s">
        <v>66</v>
      </c>
      <c r="C30" s="2">
        <v>2</v>
      </c>
      <c r="D30" s="1" t="s">
        <v>1</v>
      </c>
      <c r="E30" s="2">
        <v>2</v>
      </c>
      <c r="F30" s="1" t="s">
        <v>1</v>
      </c>
      <c r="G30" t="str">
        <f t="shared" si="0"/>
        <v>Witness</v>
      </c>
    </row>
    <row r="31" spans="1:7" ht="20" customHeight="1" thickBot="1">
      <c r="A31" s="1" t="s">
        <v>50</v>
      </c>
      <c r="B31" s="1" t="s">
        <v>66</v>
      </c>
      <c r="C31" s="2">
        <v>2</v>
      </c>
      <c r="D31" s="1" t="s">
        <v>1</v>
      </c>
      <c r="E31" s="2">
        <v>2</v>
      </c>
      <c r="F31" s="1" t="s">
        <v>1</v>
      </c>
      <c r="G31" t="str">
        <f t="shared" si="0"/>
        <v>Witness</v>
      </c>
    </row>
    <row r="32" spans="1:7" ht="20" customHeight="1" thickBot="1">
      <c r="A32" s="1" t="s">
        <v>51</v>
      </c>
      <c r="B32" s="1" t="s">
        <v>66</v>
      </c>
      <c r="C32" s="2">
        <v>2</v>
      </c>
      <c r="D32" s="1" t="s">
        <v>1</v>
      </c>
      <c r="E32" s="2">
        <v>2</v>
      </c>
      <c r="F32" s="1" t="s">
        <v>1</v>
      </c>
      <c r="G32" t="str">
        <f t="shared" si="0"/>
        <v>Witness</v>
      </c>
    </row>
    <row r="33" spans="1:9" ht="20" customHeight="1" thickBot="1">
      <c r="A33" s="1" t="s">
        <v>52</v>
      </c>
      <c r="B33" s="1" t="s">
        <v>66</v>
      </c>
      <c r="C33" s="2">
        <v>2</v>
      </c>
      <c r="D33" s="1" t="s">
        <v>1</v>
      </c>
      <c r="E33" s="2">
        <v>2</v>
      </c>
      <c r="F33" s="1" t="s">
        <v>1</v>
      </c>
      <c r="G33" t="str">
        <f t="shared" si="0"/>
        <v>Witness</v>
      </c>
    </row>
    <row r="34" spans="1:9" ht="20" customHeight="1" thickBot="1">
      <c r="A34" s="1" t="s">
        <v>53</v>
      </c>
      <c r="B34" s="1" t="s">
        <v>66</v>
      </c>
      <c r="C34" s="2">
        <v>2</v>
      </c>
      <c r="D34" s="1" t="s">
        <v>1</v>
      </c>
      <c r="E34" s="2">
        <v>2</v>
      </c>
      <c r="F34" s="1" t="s">
        <v>1</v>
      </c>
      <c r="G34" t="str">
        <f t="shared" si="0"/>
        <v>Witness</v>
      </c>
    </row>
    <row r="35" spans="1:9" ht="20" customHeight="1" thickBot="1">
      <c r="A35" s="1" t="s">
        <v>54</v>
      </c>
      <c r="B35" s="1" t="s">
        <v>66</v>
      </c>
      <c r="C35" s="2">
        <v>2</v>
      </c>
      <c r="D35" s="1" t="s">
        <v>1</v>
      </c>
      <c r="E35" s="2">
        <v>2</v>
      </c>
      <c r="F35" s="1" t="s">
        <v>1</v>
      </c>
      <c r="G35" t="str">
        <f t="shared" si="0"/>
        <v>Witness</v>
      </c>
    </row>
    <row r="36" spans="1:9" ht="20" customHeight="1" thickBot="1">
      <c r="A36" s="1" t="s">
        <v>55</v>
      </c>
      <c r="B36" s="1" t="s">
        <v>66</v>
      </c>
      <c r="C36" s="2">
        <v>3</v>
      </c>
      <c r="D36" s="1" t="s">
        <v>1</v>
      </c>
      <c r="E36" s="2">
        <v>2</v>
      </c>
      <c r="F36" s="1" t="s">
        <v>1</v>
      </c>
      <c r="G36" t="str">
        <f t="shared" si="0"/>
        <v>Witness</v>
      </c>
    </row>
    <row r="37" spans="1:9" ht="20" customHeight="1" thickBot="1">
      <c r="A37" s="1" t="s">
        <v>56</v>
      </c>
      <c r="B37" s="1" t="s">
        <v>66</v>
      </c>
      <c r="C37" s="2">
        <v>2</v>
      </c>
      <c r="D37" s="1" t="s">
        <v>1</v>
      </c>
      <c r="E37" s="2">
        <v>2</v>
      </c>
      <c r="F37" s="1" t="s">
        <v>1</v>
      </c>
      <c r="G37" t="str">
        <f t="shared" si="0"/>
        <v>Witness</v>
      </c>
    </row>
    <row r="38" spans="1:9" ht="20" customHeight="1" thickBot="1">
      <c r="A38" s="1" t="s">
        <v>78</v>
      </c>
      <c r="B38" s="1" t="s">
        <v>66</v>
      </c>
      <c r="C38" s="2">
        <v>4</v>
      </c>
      <c r="D38" s="1" t="s">
        <v>1</v>
      </c>
      <c r="E38" s="2">
        <v>4</v>
      </c>
      <c r="F38" s="1" t="s">
        <v>1</v>
      </c>
      <c r="G38" t="str">
        <f t="shared" ref="G38" si="1">VLOOKUP(B38,L:M,2,FALSE)</f>
        <v>Witness</v>
      </c>
    </row>
    <row r="39" spans="1:9" ht="20" customHeight="1" thickBot="1">
      <c r="A39" s="1" t="s">
        <v>57</v>
      </c>
      <c r="B39" s="1" t="s">
        <v>66</v>
      </c>
      <c r="C39" s="2">
        <v>2</v>
      </c>
      <c r="D39" s="1" t="s">
        <v>1</v>
      </c>
      <c r="E39" s="2">
        <v>1</v>
      </c>
      <c r="F39" s="1" t="s">
        <v>1</v>
      </c>
      <c r="G39" t="str">
        <f>VLOOKUP(B39,L:M,2,FALSE)</f>
        <v>Witness</v>
      </c>
    </row>
    <row r="40" spans="1:9" ht="20" customHeight="1" thickBot="1"/>
    <row r="41" spans="1:9" ht="20" customHeight="1" thickBot="1">
      <c r="A41" s="1" t="s">
        <v>15</v>
      </c>
      <c r="B41" s="1" t="s">
        <v>66</v>
      </c>
      <c r="C41" s="2">
        <v>3</v>
      </c>
      <c r="D41" s="1" t="s">
        <v>1</v>
      </c>
      <c r="E41">
        <v>3</v>
      </c>
      <c r="F41" t="s">
        <v>1</v>
      </c>
      <c r="G41" t="str">
        <f>VLOOKUP(B41,L:M,2,FALSE)</f>
        <v>Witness</v>
      </c>
      <c r="I41" t="s">
        <v>90</v>
      </c>
    </row>
    <row r="42" spans="1:9" ht="20" customHeight="1" thickBot="1">
      <c r="A42" s="1" t="s">
        <v>16</v>
      </c>
      <c r="B42" s="1" t="s">
        <v>66</v>
      </c>
      <c r="C42" s="2">
        <v>3</v>
      </c>
      <c r="D42" s="1" t="s">
        <v>1</v>
      </c>
      <c r="E42">
        <v>3</v>
      </c>
      <c r="F42" t="s">
        <v>1</v>
      </c>
      <c r="G42" t="str">
        <f>VLOOKUP(B42,L:M,2,FALSE)</f>
        <v>Witness</v>
      </c>
      <c r="I42" t="s">
        <v>90</v>
      </c>
    </row>
    <row r="43" spans="1:9" ht="20" customHeight="1" thickBot="1">
      <c r="A43" s="1" t="s">
        <v>17</v>
      </c>
      <c r="B43" s="1" t="s">
        <v>66</v>
      </c>
      <c r="C43" s="2">
        <v>4</v>
      </c>
      <c r="D43" s="1" t="s">
        <v>1</v>
      </c>
      <c r="E43">
        <v>4</v>
      </c>
      <c r="F43" t="s">
        <v>1</v>
      </c>
      <c r="G43" t="str">
        <f>VLOOKUP(B43,L:M,2,FALSE)</f>
        <v>Witness</v>
      </c>
      <c r="I43" t="s">
        <v>91</v>
      </c>
    </row>
    <row r="44" spans="1:9" ht="20" customHeight="1" thickBot="1">
      <c r="A44" s="5" t="s">
        <v>58</v>
      </c>
      <c r="B44" s="1" t="s">
        <v>66</v>
      </c>
      <c r="C44" s="6">
        <v>4</v>
      </c>
      <c r="D44" s="5" t="s">
        <v>1</v>
      </c>
      <c r="E44" s="6">
        <v>4</v>
      </c>
      <c r="F44" s="5" t="s">
        <v>1</v>
      </c>
      <c r="G44" t="str">
        <f>VLOOKUP(B44,L:M,2,FALSE)</f>
        <v>Witness</v>
      </c>
    </row>
    <row r="45" spans="1:9" ht="20" customHeight="1" thickBot="1">
      <c r="B45" s="1"/>
      <c r="G45" t="e">
        <f>VLOOKUP(B45,L:M,2,FALSE)</f>
        <v>#N/A</v>
      </c>
    </row>
    <row r="46" spans="1:9" ht="20" customHeight="1" thickBot="1">
      <c r="B46" s="1"/>
      <c r="G46" t="e">
        <f>VLOOKUP(B46,L:M,2,FALSE)</f>
        <v>#N/A</v>
      </c>
    </row>
    <row r="47" spans="1:9" ht="20" customHeight="1" thickBot="1">
      <c r="A47" s="1" t="s">
        <v>18</v>
      </c>
      <c r="B47" s="1" t="s">
        <v>68</v>
      </c>
      <c r="C47" s="2">
        <v>1</v>
      </c>
      <c r="D47" s="1" t="s">
        <v>1</v>
      </c>
      <c r="E47">
        <v>1</v>
      </c>
      <c r="F47" t="s">
        <v>1</v>
      </c>
      <c r="G47" t="str">
        <f>VLOOKUP(B47,L:M,2,FALSE)</f>
        <v>Iris</v>
      </c>
    </row>
    <row r="48" spans="1:9" ht="20" customHeight="1" thickBot="1">
      <c r="A48" s="1" t="s">
        <v>19</v>
      </c>
      <c r="B48" s="1" t="s">
        <v>68</v>
      </c>
      <c r="C48" s="2">
        <v>1</v>
      </c>
      <c r="D48" s="1" t="s">
        <v>1</v>
      </c>
      <c r="E48">
        <v>1</v>
      </c>
      <c r="F48" t="s">
        <v>1</v>
      </c>
      <c r="G48" t="str">
        <f>VLOOKUP(B48,L:M,2,FALSE)</f>
        <v>Iris</v>
      </c>
    </row>
    <row r="49" spans="1:7" ht="20" customHeight="1" thickBot="1">
      <c r="A49" s="1" t="s">
        <v>20</v>
      </c>
      <c r="B49" s="1" t="s">
        <v>68</v>
      </c>
      <c r="C49" s="2">
        <v>1</v>
      </c>
      <c r="D49" s="1" t="s">
        <v>1</v>
      </c>
      <c r="E49">
        <v>1</v>
      </c>
      <c r="F49" t="s">
        <v>1</v>
      </c>
      <c r="G49" t="str">
        <f>VLOOKUP(B49,L:M,2,FALSE)</f>
        <v>Iris</v>
      </c>
    </row>
    <row r="51" spans="1:7" ht="20" customHeight="1">
      <c r="A51" s="11" t="s">
        <v>82</v>
      </c>
      <c r="B51" s="11" t="s">
        <v>83</v>
      </c>
      <c r="C51" s="12">
        <v>2</v>
      </c>
      <c r="D51" s="11" t="s">
        <v>1</v>
      </c>
      <c r="E51">
        <v>2</v>
      </c>
      <c r="F51" t="s">
        <v>1</v>
      </c>
      <c r="G51" t="s">
        <v>84</v>
      </c>
    </row>
  </sheetData>
  <conditionalFormatting sqref="B41:B1048576 B1:B39">
    <cfRule type="cellIs" dxfId="1" priority="1" operator="equal">
      <formula>$L$2</formula>
    </cfRule>
  </conditionalFormatting>
  <conditionalFormatting sqref="B41:B49 B2:B39">
    <cfRule type="containsText" dxfId="0" priority="2" operator="containsText" text="Witness upkeep">
      <formula>NOT(ISERROR(SEARCH("Witness upkeep",B2)))</formula>
    </cfRule>
  </conditionalFormatting>
  <dataValidations count="1">
    <dataValidation type="list" allowBlank="1" showInputMessage="1" showErrorMessage="1" sqref="B41:B49 B2:B39" xr:uid="{B1DD0CD9-1BA6-472E-8138-2C9775024B6E}">
      <formula1>$L:$L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6CC3-BB97-431C-A392-F72DBBF71C43}">
  <dimension ref="A1:E7"/>
  <sheetViews>
    <sheetView workbookViewId="0">
      <selection activeCell="D5" sqref="D5"/>
    </sheetView>
  </sheetViews>
  <sheetFormatPr defaultRowHeight="20" customHeight="1"/>
  <cols>
    <col min="1" max="1" width="8.7265625" style="13"/>
    <col min="2" max="2" width="25" style="13" customWidth="1"/>
    <col min="3" max="3" width="8.7265625" style="13"/>
    <col min="4" max="4" width="143" style="13" customWidth="1"/>
    <col min="5" max="5" width="76.90625" style="13" customWidth="1"/>
    <col min="6" max="16384" width="8.7265625" style="13"/>
  </cols>
  <sheetData>
    <row r="1" spans="1:5" ht="20" customHeight="1" thickBot="1">
      <c r="A1" s="13" t="s">
        <v>43</v>
      </c>
    </row>
    <row r="2" spans="1:5" ht="20" customHeight="1" thickBot="1">
      <c r="A2" s="14" t="s">
        <v>25</v>
      </c>
      <c r="B2" s="14" t="s">
        <v>26</v>
      </c>
      <c r="C2" s="14" t="s">
        <v>27</v>
      </c>
      <c r="D2" s="14" t="s">
        <v>28</v>
      </c>
      <c r="E2" s="14" t="s">
        <v>29</v>
      </c>
    </row>
    <row r="3" spans="1:5" ht="20" customHeight="1" thickBot="1">
      <c r="A3" s="14" t="s">
        <v>30</v>
      </c>
      <c r="B3" s="14" t="s">
        <v>31</v>
      </c>
      <c r="C3" s="14"/>
      <c r="D3" s="14" t="s">
        <v>77</v>
      </c>
      <c r="E3" s="14" t="s">
        <v>32</v>
      </c>
    </row>
    <row r="4" spans="1:5" ht="20" customHeight="1" thickBot="1">
      <c r="A4" s="14" t="s">
        <v>33</v>
      </c>
      <c r="B4" s="14" t="s">
        <v>34</v>
      </c>
      <c r="C4" s="15"/>
      <c r="D4" s="14" t="s">
        <v>85</v>
      </c>
      <c r="E4" s="15" t="s">
        <v>35</v>
      </c>
    </row>
    <row r="5" spans="1:5" ht="20" customHeight="1" thickBot="1">
      <c r="A5" s="15" t="s">
        <v>36</v>
      </c>
      <c r="B5" s="15" t="s">
        <v>37</v>
      </c>
      <c r="C5" s="15"/>
      <c r="D5" s="15" t="s">
        <v>86</v>
      </c>
      <c r="E5" s="15" t="s">
        <v>38</v>
      </c>
    </row>
    <row r="6" spans="1:5" ht="20" customHeight="1" thickBot="1">
      <c r="A6" s="15" t="s">
        <v>39</v>
      </c>
      <c r="B6" s="15" t="s">
        <v>40</v>
      </c>
      <c r="C6" s="15"/>
      <c r="D6" s="15" t="s">
        <v>76</v>
      </c>
      <c r="E6" s="15" t="s">
        <v>42</v>
      </c>
    </row>
    <row r="7" spans="1:5" ht="25" customHeight="1">
      <c r="A7" s="13" t="s">
        <v>79</v>
      </c>
      <c r="B7" s="13" t="s">
        <v>80</v>
      </c>
      <c r="D7" s="13" t="s">
        <v>81</v>
      </c>
      <c r="E7" s="16" t="s">
        <v>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F27C-9985-491F-AFD4-C7C4F21A73F9}">
  <dimension ref="A1:E5"/>
  <sheetViews>
    <sheetView workbookViewId="0">
      <selection activeCell="A5" sqref="A5:XFD5"/>
    </sheetView>
  </sheetViews>
  <sheetFormatPr defaultRowHeight="25" customHeight="1"/>
  <cols>
    <col min="1" max="1" width="18.90625" customWidth="1"/>
    <col min="2" max="2" width="23.1796875" customWidth="1"/>
    <col min="4" max="4" width="63" customWidth="1"/>
    <col min="5" max="5" width="70.36328125" customWidth="1"/>
  </cols>
  <sheetData>
    <row r="1" spans="1:5" ht="25" customHeight="1" thickBot="1">
      <c r="A1" t="s">
        <v>44</v>
      </c>
    </row>
    <row r="2" spans="1:5" ht="25" customHeight="1" thickBot="1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</row>
    <row r="3" spans="1:5" ht="25" customHeight="1" thickBot="1">
      <c r="A3" s="4" t="s">
        <v>36</v>
      </c>
      <c r="B3" s="4" t="s">
        <v>37</v>
      </c>
      <c r="C3" s="4"/>
      <c r="D3" s="4" t="s">
        <v>75</v>
      </c>
      <c r="E3" s="4" t="s">
        <v>38</v>
      </c>
    </row>
    <row r="4" spans="1:5" ht="25" customHeight="1" thickBot="1">
      <c r="A4" s="4" t="s">
        <v>39</v>
      </c>
      <c r="B4" s="4" t="s">
        <v>40</v>
      </c>
      <c r="C4" s="4"/>
      <c r="D4" s="4" t="s">
        <v>41</v>
      </c>
      <c r="E4" s="4" t="s">
        <v>42</v>
      </c>
    </row>
    <row r="5" spans="1:5" ht="25" customHeight="1">
      <c r="A5" t="s">
        <v>79</v>
      </c>
      <c r="B5" t="s">
        <v>80</v>
      </c>
      <c r="D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</vt:lpstr>
      <vt:lpstr>LoRa packets</vt:lpstr>
      <vt:lpstr>Can packets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Sohn</dc:creator>
  <cp:lastModifiedBy>Elijah Sohn</cp:lastModifiedBy>
  <dcterms:created xsi:type="dcterms:W3CDTF">2015-06-05T18:17:20Z</dcterms:created>
  <dcterms:modified xsi:type="dcterms:W3CDTF">2026-09-18T18:14:42Z</dcterms:modified>
</cp:coreProperties>
</file>