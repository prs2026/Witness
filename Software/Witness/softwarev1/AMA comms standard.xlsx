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verview" sheetId="1" state="visible" r:id="rId3"/>
    <sheet name="Fields" sheetId="2" state="visible" r:id="rId4"/>
    <sheet name="Packets" sheetId="3" state="visible" r:id="rId5"/>
  </sheets>
  <definedNames>
    <definedName function="false" hidden="true" localSheetId="1" name="_xlnm._FilterDatabase" vbProcedure="false">Fields!$A$4:$H$48</definedName>
    <definedName function="false" hidden="true" localSheetId="2" name="_xlnm._FilterDatabase" vbProcedure="false">Packets!$A$13:$J$51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Codex</author>
  </authors>
  <commentList>
    <comment ref="E13" authorId="0">
      <text>
        <r>
          <rPr>
            <sz val="10"/>
            <rFont val="Arial"/>
            <family val="2"/>
          </rPr>
          <t xml:space="preserve">User selected a three-byte field. The 40 micro-g scale provides headroom beyond +/-320 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14</xdr:rowOff>
              </xdr:from>
              <xdr:to>
                <xdr:col>1</xdr:col>
                <xdr:colOff>-106</xdr:colOff>
                <xdr:row>1</xdr:row>
                <xdr:rowOff>30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Codex</author>
  </authors>
  <commentList>
    <comment ref="H4" authorId="0">
      <text>
        <r>
          <rPr>
            <sz val="10"/>
            <rFont val="Arial"/>
            <family val="2"/>
          </rPr>
          <t xml:space="preserve">This is the theoretical minimum before adding any CAN-fragment sequence or reassembly header.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86</xdr:colOff>
                <xdr:row>1</xdr:row>
                <xdr:rowOff>18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<sst xmlns="http://schemas.openxmlformats.org/spreadsheetml/2006/main" count="489" uniqueCount="227">
  <si>
    <t xml:space="preserve">AMA Communications Standard</t>
  </si>
  <si>
    <t xml:space="preserve">One canonical field catalog and application-packet layout is used on every transport. Multi-byte fields are big-endian.</t>
  </si>
  <si>
    <t xml:space="preserve">Convention</t>
  </si>
  <si>
    <t xml:space="preserve">Definition</t>
  </si>
  <si>
    <t xml:space="preserve">Canonical format</t>
  </si>
  <si>
    <t xml:space="preserve">LoRa, CAN, USB, and SPI use the same field widths and packet layouts.</t>
  </si>
  <si>
    <t xml:space="preserve">Application packet</t>
  </si>
  <si>
    <t xml:space="preserve">One-byte packet ID followed immediately by the canonical payload.</t>
  </si>
  <si>
    <t xml:space="preserve">Payload length</t>
  </si>
  <si>
    <t xml:space="preserve">Sum of packet fields; excludes packet ID and transport framing.</t>
  </si>
  <si>
    <t xml:space="preserve">CRC</t>
  </si>
  <si>
    <t xml:space="preserve">No application-level CRC. Each transport supplies its own integrity/framing mechanism.</t>
  </si>
  <si>
    <t xml:space="preserve">CAN fragmentation</t>
  </si>
  <si>
    <t xml:space="preserve">Canonical packets larger than eight bytes must be fragmented and reassembled by the CAN transport.</t>
  </si>
  <si>
    <t xml:space="preserve">Byte order</t>
  </si>
  <si>
    <t xml:space="preserve">All multi-byte integer and IEEE-754 fields are big-endian.</t>
  </si>
  <si>
    <t xml:space="preserve">Uptime</t>
  </si>
  <si>
    <t xml:space="preserve">Unsigned uint32 milliseconds since boot; wraps after approximately 49.7 days.</t>
  </si>
  <si>
    <t xml:space="preserve">Scaling</t>
  </si>
  <si>
    <t xml:space="preserve">Physical value = raw x scale unless the field gives a formula or offset.</t>
  </si>
  <si>
    <t xml:space="preserve">Protocol decision / implementation note</t>
  </si>
  <si>
    <t xml:space="preserve">Details</t>
  </si>
  <si>
    <t xml:space="preserve">Filtered acceleration</t>
  </si>
  <si>
    <t xml:space="preserve">Signed 24-bit, 40 micro-g/count, approximately +/-335.54 g range.</t>
  </si>
  <si>
    <t xml:space="preserve">Low/high-g raw acceleration</t>
  </si>
  <si>
    <t xml:space="preserve">Signed 16-bit native sensor values; two bytes per axis.</t>
  </si>
  <si>
    <t xml:space="preserve">MCU temperatures</t>
  </si>
  <si>
    <t xml:space="preserve">Signed int8, 1 deg C/count.</t>
  </si>
  <si>
    <t xml:space="preserve">Battery voltage</t>
  </si>
  <si>
    <t xml:space="preserve">Unsigned uint16, 1 mV/count.</t>
  </si>
  <si>
    <t xml:space="preserve">Current sensor output</t>
  </si>
  <si>
    <t xml:space="preserve">Filtered acceleration is temporarily populated from low-g samples until estimator output exists.</t>
  </si>
  <si>
    <t xml:space="preserve">Unimplemented fields</t>
  </si>
  <si>
    <t xml:space="preserve">Current packet producers leave unavailable fields zero-filled.</t>
  </si>
  <si>
    <t xml:space="preserve">Canonical Field Definitions</t>
  </si>
  <si>
    <t xml:space="preserve">Each field has one transport-independent type, byte width, scaling, and C definition.</t>
  </si>
  <si>
    <t xml:space="preserve">Field</t>
  </si>
  <si>
    <t xml:space="preserve">Category</t>
  </si>
  <si>
    <t xml:space="preserve">Source</t>
  </si>
  <si>
    <t xml:space="preserve">Wire type</t>
  </si>
  <si>
    <t xml:space="preserve">Bytes</t>
  </si>
  <si>
    <t xml:space="preserve">Scale / interpretation</t>
  </si>
  <si>
    <t xml:space="preserve">C definition</t>
  </si>
  <si>
    <t xml:space="preserve">Notes</t>
  </si>
  <si>
    <t xml:space="preserve">Witness Status</t>
  </si>
  <si>
    <t xml:space="preserve">Witness upkeep</t>
  </si>
  <si>
    <t xml:space="preserve">Witness</t>
  </si>
  <si>
    <t xml:space="preserve">bitfield[16]</t>
  </si>
  <si>
    <t xml:space="preserve">Byte 0 contains status flags; byte 1 is reserved. No numeric scale.</t>
  </si>
  <si>
    <t xml:space="preserve">IRIS_FIELD_WITNESS_STATUS_LENGTH</t>
  </si>
  <si>
    <t xml:space="preserve">Current firmware sets sensor-ready flags in byte 0.</t>
  </si>
  <si>
    <t xml:space="preserve">Witness Uptime</t>
  </si>
  <si>
    <t xml:space="preserve">uint32</t>
  </si>
  <si>
    <t xml:space="preserve">1 ms/count; elapsed time since boot.</t>
  </si>
  <si>
    <t xml:space="preserve">IRIS_FIELD_WITNESS_UPTIME_LENGTH</t>
  </si>
  <si>
    <t xml:space="preserve">Normative unit is milliseconds. Current heartbeat and sensor serializers emit seconds.</t>
  </si>
  <si>
    <t xml:space="preserve">Witness MCU Temperature</t>
  </si>
  <si>
    <t xml:space="preserve">int8</t>
  </si>
  <si>
    <t xml:space="preserve">1 deg C/count; signed MCU die temperature.</t>
  </si>
  <si>
    <t xml:space="preserve">IRIS_FIELD_WITNESS_MCU_TEMPERATURE_LENGTH</t>
  </si>
  <si>
    <t xml:space="preserve">One-byte canonical MCU-temperature representation selected by user.</t>
  </si>
  <si>
    <t xml:space="preserve">Witness Battery Voltage</t>
  </si>
  <si>
    <t xml:space="preserve">uint16</t>
  </si>
  <si>
    <t xml:space="preserve">1 mV/count; battery voltage in millivolts.</t>
  </si>
  <si>
    <t xml:space="preserve">IRIS_FIELD_WITNESS_BATTERY_VOLTAGE_LENGTH</t>
  </si>
  <si>
    <t xml:space="preserve">Compressed encoding is implemented by Sensors.</t>
  </si>
  <si>
    <t xml:space="preserve">IRIS Uptime</t>
  </si>
  <si>
    <t xml:space="preserve">IRIS upkeep</t>
  </si>
  <si>
    <t xml:space="preserve">IRIS</t>
  </si>
  <si>
    <t xml:space="preserve">IRIS_FIELD_IRIS_UPTIME_LENGTH</t>
  </si>
  <si>
    <t xml:space="preserve">IRIS Status</t>
  </si>
  <si>
    <t xml:space="preserve">16 independent flags; no numeric scale.</t>
  </si>
  <si>
    <t xml:space="preserve">IRIS_FIELD_IRIS_STATUS_LENGTH</t>
  </si>
  <si>
    <t xml:space="preserve">IRIS MCU Temperature</t>
  </si>
  <si>
    <t xml:space="preserve">IRIS_FIELD_IRIS_MCU_TEMPERATURE_LENGTH</t>
  </si>
  <si>
    <t xml:space="preserve">IRIS Battery Voltage</t>
  </si>
  <si>
    <t xml:space="preserve">IRIS_FIELD_IRIS_BATTERY_VOLTAGE_LENGTH</t>
  </si>
  <si>
    <t xml:space="preserve">Filtered Accel X</t>
  </si>
  <si>
    <t xml:space="preserve">Filtered estimates</t>
  </si>
  <si>
    <t xml:space="preserve">signed int24</t>
  </si>
  <si>
    <t xml:space="preserve">40 micro-g/count; acceleration in g = raw x 0.000040; range approximately -335.54 to +335.54 g.</t>
  </si>
  <si>
    <t xml:space="preserve">IRIS_FIELD_FILTERED_ACCEL_X_LENGTH</t>
  </si>
  <si>
    <t xml:space="preserve">Three-byte canonical filtered-acceleration representation selected by user. Current firmware fills it from low-g samples until an estimator output is available.</t>
  </si>
  <si>
    <t xml:space="preserve">Filtered Accel Y</t>
  </si>
  <si>
    <t xml:space="preserve">IRIS_FIELD_FILTERED_ACCEL_Y_LENGTH</t>
  </si>
  <si>
    <t xml:space="preserve">Filtered Accel Z</t>
  </si>
  <si>
    <t xml:space="preserve">IRIS_FIELD_FILTERED_ACCEL_Z_LENGTH</t>
  </si>
  <si>
    <t xml:space="preserve">Orientation Quaternion X</t>
  </si>
  <si>
    <t xml:space="preserve">IEEE-754 float32</t>
  </si>
  <si>
    <t xml:space="preserve">Unitless normalized quaternion component.</t>
  </si>
  <si>
    <t xml:space="preserve">IRIS_FIELD_ORIENTATION_QUAT_X_LENGTH</t>
  </si>
  <si>
    <t xml:space="preserve">Compressed scaling is the explicit protocol interpretation for this revision.</t>
  </si>
  <si>
    <t xml:space="preserve">Orientation Quaternion Y</t>
  </si>
  <si>
    <t xml:space="preserve">IRIS_FIELD_ORIENTATION_QUAT_Y_LENGTH</t>
  </si>
  <si>
    <t xml:space="preserve">Orientation Quaternion Z</t>
  </si>
  <si>
    <t xml:space="preserve">IRIS_FIELD_ORIENTATION_QUAT_Z_LENGTH</t>
  </si>
  <si>
    <t xml:space="preserve">Orientation Quaternion W</t>
  </si>
  <si>
    <t xml:space="preserve">IRIS_FIELD_ORIENTATION_QUAT_W_LENGTH</t>
  </si>
  <si>
    <t xml:space="preserve">Position X</t>
  </si>
  <si>
    <t xml:space="preserve">Meters in the estimator local frame.</t>
  </si>
  <si>
    <t xml:space="preserve">IRIS_FIELD_POSITION_X_LENGTH</t>
  </si>
  <si>
    <t xml:space="preserve">Position Y</t>
  </si>
  <si>
    <t xml:space="preserve">IRIS_FIELD_POSITION_Y_LENGTH</t>
  </si>
  <si>
    <t xml:space="preserve">Position Z</t>
  </si>
  <si>
    <t xml:space="preserve">IRIS_FIELD_POSITION_Z_LENGTH</t>
  </si>
  <si>
    <t xml:space="preserve">Velocity X</t>
  </si>
  <si>
    <t xml:space="preserve">Meters per second in the estimator local frame.</t>
  </si>
  <si>
    <t xml:space="preserve">IRIS_FIELD_VELOCITY_X_LENGTH</t>
  </si>
  <si>
    <t xml:space="preserve">Velocity Y</t>
  </si>
  <si>
    <t xml:space="preserve">IRIS_FIELD_VELOCITY_Y_LENGTH</t>
  </si>
  <si>
    <t xml:space="preserve">Velocity Z</t>
  </si>
  <si>
    <t xml:space="preserve">IRIS_FIELD_VELOCITY_Z_LENGTH</t>
  </si>
  <si>
    <t xml:space="preserve">LSM6 Low Accel X</t>
  </si>
  <si>
    <t xml:space="preserve">Raw sensors</t>
  </si>
  <si>
    <t xml:space="preserve">int16</t>
  </si>
  <si>
    <t xml:space="preserve">0.488 mg/count at +/-16 g.</t>
  </si>
  <si>
    <t xml:space="preserve">IRIS_FIELD_LSM6_LOW_ACCEL_X_LENGTH</t>
  </si>
  <si>
    <t xml:space="preserve">LSM6 Low Accel Y</t>
  </si>
  <si>
    <t xml:space="preserve">IRIS_FIELD_LSM6_LOW_ACCEL_Y_LENGTH</t>
  </si>
  <si>
    <t xml:space="preserve">LSM6 Low Accel Z</t>
  </si>
  <si>
    <t xml:space="preserve">IRIS_FIELD_LSM6_LOW_ACCEL_Z_LENGTH</t>
  </si>
  <si>
    <t xml:space="preserve">LSM6 Temperature</t>
  </si>
  <si>
    <t xml:space="preserve">Sensor raw code; deg C = 25 + raw / 256.</t>
  </si>
  <si>
    <t xml:space="preserve">IRIS_FIELD_LSM6_TEMPERATURE_LENGTH</t>
  </si>
  <si>
    <t xml:space="preserve">Best-guess resolution: selected the later one-byte workbook definition. Uncompressed form remains the native LSM6 raw code.</t>
  </si>
  <si>
    <t xml:space="preserve">LSM6 High Accel X</t>
  </si>
  <si>
    <t xml:space="preserve">10.417 mg/count at +/-320 g.</t>
  </si>
  <si>
    <t xml:space="preserve">IRIS_FIELD_LSM6_HIGH_ACCEL_X_LENGTH</t>
  </si>
  <si>
    <t xml:space="preserve">LSM6 High Accel Y</t>
  </si>
  <si>
    <t xml:space="preserve">IRIS_FIELD_LSM6_HIGH_ACCEL_Y_LENGTH</t>
  </si>
  <si>
    <t xml:space="preserve">LSM6 High Accel Z</t>
  </si>
  <si>
    <t xml:space="preserve">IRIS_FIELD_LSM6_HIGH_ACCEL_Z_LENGTH</t>
  </si>
  <si>
    <t xml:space="preserve">LSM6 Gyro X</t>
  </si>
  <si>
    <t xml:space="preserve">70 mdps/count at +/-2000 dps.</t>
  </si>
  <si>
    <t xml:space="preserve">IRIS_FIELD_LSM6_GYRO_X_LENGTH</t>
  </si>
  <si>
    <t xml:space="preserve">LSM6 Gyro Y</t>
  </si>
  <si>
    <t xml:space="preserve">IRIS_FIELD_LSM6_GYRO_Y_LENGTH</t>
  </si>
  <si>
    <t xml:space="preserve">LSM6 Gyro Z</t>
  </si>
  <si>
    <t xml:space="preserve">IRIS_FIELD_LSM6_GYRO_Z_LENGTH</t>
  </si>
  <si>
    <t xml:space="preserve">MS5607 Pressure</t>
  </si>
  <si>
    <t xml:space="preserve">uint24</t>
  </si>
  <si>
    <t xml:space="preserve">1 Pa/count (equivalent to 0.01 mbar/count).</t>
  </si>
  <si>
    <t xml:space="preserve">IRIS_FIELD_MS5607_PRESSURE_LENGTH</t>
  </si>
  <si>
    <t xml:space="preserve">The driver stores compensated pressure in Pa/centi-mbar units.</t>
  </si>
  <si>
    <t xml:space="preserve">MS5607 Temperature</t>
  </si>
  <si>
    <t xml:space="preserve">0.01 deg C/count.</t>
  </si>
  <si>
    <t xml:space="preserve">IRIS_FIELD_MS5607_TEMPERATURE_LENGTH</t>
  </si>
  <si>
    <t xml:space="preserve">MS5607 Altitude</t>
  </si>
  <si>
    <t xml:space="preserve">Meters above the configured pressure reference.</t>
  </si>
  <si>
    <t xml:space="preserve">IRIS_FIELD_MS5607_ALTITUDE_LENGTH</t>
  </si>
  <si>
    <t xml:space="preserve">Current 0x02 serializer emits this as big-endian float32.</t>
  </si>
  <si>
    <t xml:space="preserve">Latitude</t>
  </si>
  <si>
    <t xml:space="preserve">0.0001 degree/count; degrees = raw / 10,000.</t>
  </si>
  <si>
    <t xml:space="preserve">IRIS_FIELD_LATITUDE_LENGTH</t>
  </si>
  <si>
    <t xml:space="preserve">Longitude</t>
  </si>
  <si>
    <t xml:space="preserve">IRIS_FIELD_LONGITUDE_LENGTH</t>
  </si>
  <si>
    <t xml:space="preserve">GPS Time</t>
  </si>
  <si>
    <t xml:space="preserve">1 second/count; Unix timestamp in UTC.</t>
  </si>
  <si>
    <t xml:space="preserve">IRIS_FIELD_GPS_TIME_LENGTH</t>
  </si>
  <si>
    <t xml:space="preserve">GPS Altitude</t>
  </si>
  <si>
    <t xml:space="preserve">Meters above mean sea level.</t>
  </si>
  <si>
    <t xml:space="preserve">IRIS_FIELD_GPS_ALTITUDE_LENGTH</t>
  </si>
  <si>
    <t xml:space="preserve">Channel 1 Current</t>
  </si>
  <si>
    <t xml:space="preserve">IRIS sensing</t>
  </si>
  <si>
    <t xml:space="preserve">uint8</t>
  </si>
  <si>
    <t xml:space="preserve">0.1 A/count; current in amperes = raw x 0.1.</t>
  </si>
  <si>
    <t xml:space="preserve">IRIS_FIELD_CH1_CURRENT_LENGTH</t>
  </si>
  <si>
    <t xml:space="preserve">Scale is defined by this protocol revision; verify against the future current-sense driver.</t>
  </si>
  <si>
    <t xml:space="preserve">Channel 2 Current</t>
  </si>
  <si>
    <t xml:space="preserve">IRIS_FIELD_CH2_CURRENT_LENGTH</t>
  </si>
  <si>
    <t xml:space="preserve">Channel 3 Current</t>
  </si>
  <si>
    <t xml:space="preserve">IRIS_FIELD_CH3_CURRENT_LENGTH</t>
  </si>
  <si>
    <t xml:space="preserve">Command</t>
  </si>
  <si>
    <t xml:space="preserve">General</t>
  </si>
  <si>
    <t xml:space="preserve">Any</t>
  </si>
  <si>
    <t xml:space="preserve">uint16 enum</t>
  </si>
  <si>
    <t xml:space="preserve">No numeric scale; command/opcode value.</t>
  </si>
  <si>
    <t xml:space="preserve">IRIS_FIELD_COMMAND_LENGTH</t>
  </si>
  <si>
    <t xml:space="preserve">Ground Station Status</t>
  </si>
  <si>
    <t xml:space="preserve">Common packet alias</t>
  </si>
  <si>
    <t xml:space="preserve">Ground station</t>
  </si>
  <si>
    <t xml:space="preserve">Byte 0 contains status flags; byte 1 is reserved.</t>
  </si>
  <si>
    <t xml:space="preserve">IRIS_PACKET_STATUS_LENGTH</t>
  </si>
  <si>
    <t xml:space="preserve">Uses the common status width in comms.h.</t>
  </si>
  <si>
    <t xml:space="preserve">Ground Station Uptime</t>
  </si>
  <si>
    <t xml:space="preserve">1 ms/count; elapsed time since ground-station boot.</t>
  </si>
  <si>
    <t xml:space="preserve">IRIS_PACKET_UPTIME_LENGTH</t>
  </si>
  <si>
    <t xml:space="preserve">Current Witness heartbeat producer sends Witness uptime in seconds.</t>
  </si>
  <si>
    <t xml:space="preserve">Canonical Packet Definitions</t>
  </si>
  <si>
    <t xml:space="preserve">These packet IDs, field orders, offsets, and payload sizes are identical on every transport.</t>
  </si>
  <si>
    <t xml:space="preserve">Packet ID</t>
  </si>
  <si>
    <t xml:space="preserve">Name</t>
  </si>
  <si>
    <t xml:space="preserve">Direction</t>
  </si>
  <si>
    <t xml:space="preserve">Rate</t>
  </si>
  <si>
    <t xml:space="preserve">Payload bytes</t>
  </si>
  <si>
    <t xml:space="preserve">Packet ID bytes</t>
  </si>
  <si>
    <t xml:space="preserve">Application packet bytes</t>
  </si>
  <si>
    <t xml:space="preserve">Minimum 8-byte CAN frames</t>
  </si>
  <si>
    <t xml:space="preserve">Transport CRC bytes</t>
  </si>
  <si>
    <t xml:space="preserve">0x01</t>
  </si>
  <si>
    <t xml:space="preserve">Sensors</t>
  </si>
  <si>
    <t xml:space="preserve">Witness -&gt; peer</t>
  </si>
  <si>
    <t xml:space="preserve">10 Hz nominal</t>
  </si>
  <si>
    <t xml:space="preserve">Status, uptime, filtered acceleration, and gyro.</t>
  </si>
  <si>
    <t xml:space="preserve">0x02</t>
  </si>
  <si>
    <t xml:space="preserve">State</t>
  </si>
  <si>
    <t xml:space="preserve">1 Hz firmware</t>
  </si>
  <si>
    <t xml:space="preserve">Estimated state, navigation, barometric altitude, and FC battery.</t>
  </si>
  <si>
    <t xml:space="preserve">0x03</t>
  </si>
  <si>
    <t xml:space="preserve">Camera</t>
  </si>
  <si>
    <t xml:space="preserve">IRIS/Witness -&gt; peer</t>
  </si>
  <si>
    <t xml:space="preserve">1 Hz nominal</t>
  </si>
  <si>
    <t xml:space="preserve">Witness and IRIS status, current sensing, and IRIS battery.</t>
  </si>
  <si>
    <t xml:space="preserve">0x05</t>
  </si>
  <si>
    <t xml:space="preserve">Controller -&gt; board</t>
  </si>
  <si>
    <t xml:space="preserve">On demand</t>
  </si>
  <si>
    <t xml:space="preserve">Command packet.</t>
  </si>
  <si>
    <t xml:space="preserve">0xFF</t>
  </si>
  <si>
    <t xml:space="preserve">Heartbeat</t>
  </si>
  <si>
    <t xml:space="preserve">Board -&gt; peer</t>
  </si>
  <si>
    <t xml:space="preserve">1 Hz</t>
  </si>
  <si>
    <t xml:space="preserve">Heartbeat and uptime.</t>
  </si>
  <si>
    <t xml:space="preserve">Packet</t>
  </si>
  <si>
    <t xml:space="preserve">Order</t>
  </si>
  <si>
    <t xml:space="preserve">Offset</t>
  </si>
  <si>
    <t xml:space="preserve">Size bytes</t>
  </si>
  <si>
    <t xml:space="preserve">Last byte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</si>
</sst>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B9BD5"/>
        <bgColor rgb="FF969696"/>
      </patternFill>
    </fill>
    <fill>
      <patternFill patternType="solid">
        <fgColor rgb="FFFFFFFF"/>
        <bgColor rgb="FFEAF2F8"/>
      </patternFill>
    </fill>
    <fill>
      <patternFill patternType="solid">
        <fgColor rgb="FFEAF2F8"/>
        <bgColor rgb="FFFFFFFF"/>
      </patternFill>
    </fill>
    <fill>
      <patternFill patternType="solid">
        <fgColor rgb="FFFFF2CC"/>
        <bgColor rgb="FFEAF2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5B9BD5"/>
          <bgColor rgb="FF000000"/>
        </patternFill>
      </fill>
    </dxf>
    <dxf>
      <fill>
        <patternFill patternType="solid">
          <fgColor rgb="FFEAF2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B9BD5"/>
      <rgbColor rgb="FF993366"/>
      <rgbColor rgb="FFFFF2CC"/>
      <rgbColor rgb="FFEA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0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5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5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5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5" t="s">
        <v>19</v>
      </c>
    </row>
    <row r="15" customFormat="false" ht="30" hidden="false" customHeight="true" outlineLevel="0" collapsed="false">
      <c r="A15" s="3" t="s">
        <v>20</v>
      </c>
      <c r="B15" s="3" t="s">
        <v>21</v>
      </c>
    </row>
    <row r="16" customFormat="false" ht="15" hidden="false" customHeight="false" outlineLevel="0" collapsed="false">
      <c r="A16" s="6" t="s">
        <v>22</v>
      </c>
      <c r="B16" s="6" t="s">
        <v>23</v>
      </c>
    </row>
    <row r="17" customFormat="false" ht="15" hidden="false" customHeight="false" outlineLevel="0" collapsed="false">
      <c r="A17" s="6" t="s">
        <v>24</v>
      </c>
      <c r="B17" s="6" t="s">
        <v>25</v>
      </c>
    </row>
    <row r="18" customFormat="false" ht="15" hidden="false" customHeight="false" outlineLevel="0" collapsed="false">
      <c r="A18" s="6" t="s">
        <v>26</v>
      </c>
      <c r="B18" s="6" t="s">
        <v>27</v>
      </c>
    </row>
    <row r="19" customFormat="false" ht="15" hidden="false" customHeight="false" outlineLevel="0" collapsed="false">
      <c r="A19" s="6" t="s">
        <v>28</v>
      </c>
      <c r="B19" s="6" t="s">
        <v>29</v>
      </c>
    </row>
    <row r="20" customFormat="false" ht="15" hidden="false" customHeight="false" outlineLevel="0" collapsed="false">
      <c r="A20" s="6" t="s">
        <v>30</v>
      </c>
      <c r="B20" s="6" t="s">
        <v>31</v>
      </c>
    </row>
    <row r="21" customFormat="false" ht="15" hidden="false" customHeight="false" outlineLevel="0" collapsed="false">
      <c r="A21" s="6" t="s">
        <v>32</v>
      </c>
      <c r="B21" s="6" t="s">
        <v>33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1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60"/>
    <col collapsed="false" customWidth="true" hidden="false" outlineLevel="0" max="7" min="7" style="0" width="58"/>
    <col collapsed="false" customWidth="true" hidden="false" outlineLevel="0" max="8" min="8" style="0" width="68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2" t="s">
        <v>35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36</v>
      </c>
      <c r="B4" s="3" t="s">
        <v>37</v>
      </c>
      <c r="C4" s="3" t="s">
        <v>38</v>
      </c>
      <c r="D4" s="3" t="s">
        <v>39</v>
      </c>
      <c r="E4" s="3" t="s">
        <v>40</v>
      </c>
      <c r="F4" s="3" t="s">
        <v>41</v>
      </c>
      <c r="G4" s="3" t="s">
        <v>42</v>
      </c>
      <c r="H4" s="3" t="s">
        <v>43</v>
      </c>
    </row>
    <row r="5" customFormat="false" ht="15" hidden="false" customHeight="false" outlineLevel="0" collapsed="false">
      <c r="A5" s="4" t="s">
        <v>44</v>
      </c>
      <c r="B5" s="4" t="s">
        <v>45</v>
      </c>
      <c r="C5" s="4" t="s">
        <v>46</v>
      </c>
      <c r="D5" s="4" t="s">
        <v>47</v>
      </c>
      <c r="E5" s="4" t="n">
        <v>2</v>
      </c>
      <c r="F5" s="4" t="s">
        <v>48</v>
      </c>
      <c r="G5" s="4" t="s">
        <v>49</v>
      </c>
      <c r="H5" s="4" t="s">
        <v>50</v>
      </c>
    </row>
    <row r="6" customFormat="false" ht="24" hidden="false" customHeight="false" outlineLevel="0" collapsed="false">
      <c r="A6" s="5" t="s">
        <v>51</v>
      </c>
      <c r="B6" s="5" t="s">
        <v>45</v>
      </c>
      <c r="C6" s="5" t="s">
        <v>46</v>
      </c>
      <c r="D6" s="5" t="s">
        <v>52</v>
      </c>
      <c r="E6" s="5" t="n">
        <v>4</v>
      </c>
      <c r="F6" s="5" t="s">
        <v>53</v>
      </c>
      <c r="G6" s="5" t="s">
        <v>54</v>
      </c>
      <c r="H6" s="5" t="s">
        <v>55</v>
      </c>
    </row>
    <row r="7" customFormat="false" ht="15" hidden="false" customHeight="false" outlineLevel="0" collapsed="false">
      <c r="A7" s="4" t="s">
        <v>56</v>
      </c>
      <c r="B7" s="4" t="s">
        <v>45</v>
      </c>
      <c r="C7" s="4" t="s">
        <v>46</v>
      </c>
      <c r="D7" s="4" t="s">
        <v>57</v>
      </c>
      <c r="E7" s="4" t="n">
        <v>1</v>
      </c>
      <c r="F7" s="4" t="s">
        <v>58</v>
      </c>
      <c r="G7" s="4" t="s">
        <v>59</v>
      </c>
      <c r="H7" s="4" t="s">
        <v>60</v>
      </c>
    </row>
    <row r="8" customFormat="false" ht="15" hidden="false" customHeight="false" outlineLevel="0" collapsed="false">
      <c r="A8" s="5" t="s">
        <v>61</v>
      </c>
      <c r="B8" s="5" t="s">
        <v>45</v>
      </c>
      <c r="C8" s="5" t="s">
        <v>46</v>
      </c>
      <c r="D8" s="5" t="s">
        <v>62</v>
      </c>
      <c r="E8" s="5" t="n">
        <v>2</v>
      </c>
      <c r="F8" s="5" t="s">
        <v>63</v>
      </c>
      <c r="G8" s="5" t="s">
        <v>64</v>
      </c>
      <c r="H8" s="5" t="s">
        <v>65</v>
      </c>
    </row>
    <row r="9" customFormat="false" ht="15" hidden="false" customHeight="false" outlineLevel="0" collapsed="false">
      <c r="A9" s="4" t="s">
        <v>66</v>
      </c>
      <c r="B9" s="4" t="s">
        <v>67</v>
      </c>
      <c r="C9" s="4" t="s">
        <v>68</v>
      </c>
      <c r="D9" s="4" t="s">
        <v>52</v>
      </c>
      <c r="E9" s="4" t="n">
        <v>4</v>
      </c>
      <c r="F9" s="4" t="s">
        <v>53</v>
      </c>
      <c r="G9" s="4" t="s">
        <v>69</v>
      </c>
      <c r="H9" s="4"/>
    </row>
    <row r="10" customFormat="false" ht="15" hidden="false" customHeight="false" outlineLevel="0" collapsed="false">
      <c r="A10" s="5" t="s">
        <v>70</v>
      </c>
      <c r="B10" s="5" t="s">
        <v>67</v>
      </c>
      <c r="C10" s="5" t="s">
        <v>68</v>
      </c>
      <c r="D10" s="5" t="s">
        <v>47</v>
      </c>
      <c r="E10" s="5" t="n">
        <v>2</v>
      </c>
      <c r="F10" s="5" t="s">
        <v>71</v>
      </c>
      <c r="G10" s="5" t="s">
        <v>72</v>
      </c>
      <c r="H10" s="5"/>
    </row>
    <row r="11" customFormat="false" ht="15" hidden="false" customHeight="false" outlineLevel="0" collapsed="false">
      <c r="A11" s="4" t="s">
        <v>73</v>
      </c>
      <c r="B11" s="4" t="s">
        <v>67</v>
      </c>
      <c r="C11" s="4" t="s">
        <v>68</v>
      </c>
      <c r="D11" s="4" t="s">
        <v>57</v>
      </c>
      <c r="E11" s="4" t="n">
        <v>1</v>
      </c>
      <c r="F11" s="4" t="s">
        <v>58</v>
      </c>
      <c r="G11" s="4" t="s">
        <v>74</v>
      </c>
      <c r="H11" s="4" t="s">
        <v>60</v>
      </c>
    </row>
    <row r="12" customFormat="false" ht="15" hidden="false" customHeight="false" outlineLevel="0" collapsed="false">
      <c r="A12" s="5" t="s">
        <v>75</v>
      </c>
      <c r="B12" s="5" t="s">
        <v>67</v>
      </c>
      <c r="C12" s="5" t="s">
        <v>68</v>
      </c>
      <c r="D12" s="5" t="s">
        <v>62</v>
      </c>
      <c r="E12" s="5" t="n">
        <v>2</v>
      </c>
      <c r="F12" s="5" t="s">
        <v>63</v>
      </c>
      <c r="G12" s="5" t="s">
        <v>76</v>
      </c>
      <c r="H12" s="5"/>
    </row>
    <row r="13" customFormat="false" ht="24" hidden="false" customHeight="false" outlineLevel="0" collapsed="false">
      <c r="A13" s="4" t="s">
        <v>77</v>
      </c>
      <c r="B13" s="4" t="s">
        <v>78</v>
      </c>
      <c r="C13" s="4" t="s">
        <v>46</v>
      </c>
      <c r="D13" s="4" t="s">
        <v>79</v>
      </c>
      <c r="E13" s="4" t="n">
        <v>3</v>
      </c>
      <c r="F13" s="4" t="s">
        <v>80</v>
      </c>
      <c r="G13" s="4" t="s">
        <v>81</v>
      </c>
      <c r="H13" s="4" t="s">
        <v>82</v>
      </c>
    </row>
    <row r="14" customFormat="false" ht="24" hidden="false" customHeight="false" outlineLevel="0" collapsed="false">
      <c r="A14" s="5" t="s">
        <v>83</v>
      </c>
      <c r="B14" s="5" t="s">
        <v>78</v>
      </c>
      <c r="C14" s="5" t="s">
        <v>46</v>
      </c>
      <c r="D14" s="5" t="s">
        <v>79</v>
      </c>
      <c r="E14" s="5" t="n">
        <v>3</v>
      </c>
      <c r="F14" s="5" t="s">
        <v>80</v>
      </c>
      <c r="G14" s="5" t="s">
        <v>84</v>
      </c>
      <c r="H14" s="5" t="s">
        <v>82</v>
      </c>
    </row>
    <row r="15" customFormat="false" ht="24" hidden="false" customHeight="false" outlineLevel="0" collapsed="false">
      <c r="A15" s="4" t="s">
        <v>85</v>
      </c>
      <c r="B15" s="4" t="s">
        <v>78</v>
      </c>
      <c r="C15" s="4" t="s">
        <v>46</v>
      </c>
      <c r="D15" s="4" t="s">
        <v>79</v>
      </c>
      <c r="E15" s="4" t="n">
        <v>3</v>
      </c>
      <c r="F15" s="4" t="s">
        <v>80</v>
      </c>
      <c r="G15" s="4" t="s">
        <v>86</v>
      </c>
      <c r="H15" s="4" t="s">
        <v>82</v>
      </c>
    </row>
    <row r="16" customFormat="false" ht="15" hidden="false" customHeight="false" outlineLevel="0" collapsed="false">
      <c r="A16" s="5" t="s">
        <v>87</v>
      </c>
      <c r="B16" s="5" t="s">
        <v>78</v>
      </c>
      <c r="C16" s="5" t="s">
        <v>46</v>
      </c>
      <c r="D16" s="5" t="s">
        <v>88</v>
      </c>
      <c r="E16" s="5" t="n">
        <v>4</v>
      </c>
      <c r="F16" s="5" t="s">
        <v>89</v>
      </c>
      <c r="G16" s="5" t="s">
        <v>90</v>
      </c>
      <c r="H16" s="5" t="s">
        <v>91</v>
      </c>
    </row>
    <row r="17" customFormat="false" ht="15" hidden="false" customHeight="false" outlineLevel="0" collapsed="false">
      <c r="A17" s="4" t="s">
        <v>92</v>
      </c>
      <c r="B17" s="4" t="s">
        <v>78</v>
      </c>
      <c r="C17" s="4" t="s">
        <v>46</v>
      </c>
      <c r="D17" s="4" t="s">
        <v>88</v>
      </c>
      <c r="E17" s="4" t="n">
        <v>4</v>
      </c>
      <c r="F17" s="4" t="s">
        <v>89</v>
      </c>
      <c r="G17" s="4" t="s">
        <v>93</v>
      </c>
      <c r="H17" s="4" t="s">
        <v>91</v>
      </c>
    </row>
    <row r="18" customFormat="false" ht="15" hidden="false" customHeight="false" outlineLevel="0" collapsed="false">
      <c r="A18" s="5" t="s">
        <v>94</v>
      </c>
      <c r="B18" s="5" t="s">
        <v>78</v>
      </c>
      <c r="C18" s="5" t="s">
        <v>46</v>
      </c>
      <c r="D18" s="5" t="s">
        <v>88</v>
      </c>
      <c r="E18" s="5" t="n">
        <v>4</v>
      </c>
      <c r="F18" s="5" t="s">
        <v>89</v>
      </c>
      <c r="G18" s="5" t="s">
        <v>95</v>
      </c>
      <c r="H18" s="5" t="s">
        <v>91</v>
      </c>
    </row>
    <row r="19" customFormat="false" ht="15" hidden="false" customHeight="false" outlineLevel="0" collapsed="false">
      <c r="A19" s="4" t="s">
        <v>96</v>
      </c>
      <c r="B19" s="4" t="s">
        <v>78</v>
      </c>
      <c r="C19" s="4" t="s">
        <v>46</v>
      </c>
      <c r="D19" s="4" t="s">
        <v>88</v>
      </c>
      <c r="E19" s="4" t="n">
        <v>4</v>
      </c>
      <c r="F19" s="4" t="s">
        <v>89</v>
      </c>
      <c r="G19" s="4" t="s">
        <v>97</v>
      </c>
      <c r="H19" s="4" t="s">
        <v>91</v>
      </c>
    </row>
    <row r="20" customFormat="false" ht="15" hidden="false" customHeight="false" outlineLevel="0" collapsed="false">
      <c r="A20" s="5" t="s">
        <v>98</v>
      </c>
      <c r="B20" s="5" t="s">
        <v>78</v>
      </c>
      <c r="C20" s="5" t="s">
        <v>46</v>
      </c>
      <c r="D20" s="5" t="s">
        <v>88</v>
      </c>
      <c r="E20" s="5" t="n">
        <v>4</v>
      </c>
      <c r="F20" s="5" t="s">
        <v>99</v>
      </c>
      <c r="G20" s="5" t="s">
        <v>100</v>
      </c>
      <c r="H20" s="5"/>
    </row>
    <row r="21" customFormat="false" ht="15" hidden="false" customHeight="false" outlineLevel="0" collapsed="false">
      <c r="A21" s="4" t="s">
        <v>101</v>
      </c>
      <c r="B21" s="4" t="s">
        <v>78</v>
      </c>
      <c r="C21" s="4" t="s">
        <v>46</v>
      </c>
      <c r="D21" s="4" t="s">
        <v>88</v>
      </c>
      <c r="E21" s="4" t="n">
        <v>4</v>
      </c>
      <c r="F21" s="4" t="s">
        <v>99</v>
      </c>
      <c r="G21" s="4" t="s">
        <v>102</v>
      </c>
      <c r="H21" s="4"/>
    </row>
    <row r="22" customFormat="false" ht="15" hidden="false" customHeight="false" outlineLevel="0" collapsed="false">
      <c r="A22" s="5" t="s">
        <v>103</v>
      </c>
      <c r="B22" s="5" t="s">
        <v>78</v>
      </c>
      <c r="C22" s="5" t="s">
        <v>46</v>
      </c>
      <c r="D22" s="5" t="s">
        <v>88</v>
      </c>
      <c r="E22" s="5" t="n">
        <v>4</v>
      </c>
      <c r="F22" s="5" t="s">
        <v>99</v>
      </c>
      <c r="G22" s="5" t="s">
        <v>104</v>
      </c>
      <c r="H22" s="5"/>
    </row>
    <row r="23" customFormat="false" ht="15" hidden="false" customHeight="false" outlineLevel="0" collapsed="false">
      <c r="A23" s="4" t="s">
        <v>105</v>
      </c>
      <c r="B23" s="4" t="s">
        <v>78</v>
      </c>
      <c r="C23" s="4" t="s">
        <v>46</v>
      </c>
      <c r="D23" s="4" t="s">
        <v>88</v>
      </c>
      <c r="E23" s="4" t="n">
        <v>4</v>
      </c>
      <c r="F23" s="4" t="s">
        <v>106</v>
      </c>
      <c r="G23" s="4" t="s">
        <v>107</v>
      </c>
      <c r="H23" s="4"/>
    </row>
    <row r="24" customFormat="false" ht="15" hidden="false" customHeight="false" outlineLevel="0" collapsed="false">
      <c r="A24" s="5" t="s">
        <v>108</v>
      </c>
      <c r="B24" s="5" t="s">
        <v>78</v>
      </c>
      <c r="C24" s="5" t="s">
        <v>46</v>
      </c>
      <c r="D24" s="5" t="s">
        <v>88</v>
      </c>
      <c r="E24" s="5" t="n">
        <v>4</v>
      </c>
      <c r="F24" s="5" t="s">
        <v>106</v>
      </c>
      <c r="G24" s="5" t="s">
        <v>109</v>
      </c>
      <c r="H24" s="5"/>
    </row>
    <row r="25" customFormat="false" ht="15" hidden="false" customHeight="false" outlineLevel="0" collapsed="false">
      <c r="A25" s="4" t="s">
        <v>110</v>
      </c>
      <c r="B25" s="4" t="s">
        <v>78</v>
      </c>
      <c r="C25" s="4" t="s">
        <v>46</v>
      </c>
      <c r="D25" s="4" t="s">
        <v>88</v>
      </c>
      <c r="E25" s="4" t="n">
        <v>4</v>
      </c>
      <c r="F25" s="4" t="s">
        <v>106</v>
      </c>
      <c r="G25" s="4" t="s">
        <v>111</v>
      </c>
      <c r="H25" s="4"/>
    </row>
    <row r="26" customFormat="false" ht="15" hidden="false" customHeight="false" outlineLevel="0" collapsed="false">
      <c r="A26" s="5" t="s">
        <v>112</v>
      </c>
      <c r="B26" s="5" t="s">
        <v>113</v>
      </c>
      <c r="C26" s="5" t="s">
        <v>46</v>
      </c>
      <c r="D26" s="5" t="s">
        <v>114</v>
      </c>
      <c r="E26" s="5" t="n">
        <v>2</v>
      </c>
      <c r="F26" s="5" t="s">
        <v>115</v>
      </c>
      <c r="G26" s="5" t="s">
        <v>116</v>
      </c>
      <c r="H26" s="5"/>
    </row>
    <row r="27" customFormat="false" ht="15" hidden="false" customHeight="false" outlineLevel="0" collapsed="false">
      <c r="A27" s="4" t="s">
        <v>117</v>
      </c>
      <c r="B27" s="4" t="s">
        <v>113</v>
      </c>
      <c r="C27" s="4" t="s">
        <v>46</v>
      </c>
      <c r="D27" s="4" t="s">
        <v>114</v>
      </c>
      <c r="E27" s="4" t="n">
        <v>2</v>
      </c>
      <c r="F27" s="4" t="s">
        <v>115</v>
      </c>
      <c r="G27" s="4" t="s">
        <v>118</v>
      </c>
      <c r="H27" s="4"/>
    </row>
    <row r="28" customFormat="false" ht="15" hidden="false" customHeight="false" outlineLevel="0" collapsed="false">
      <c r="A28" s="5" t="s">
        <v>119</v>
      </c>
      <c r="B28" s="5" t="s">
        <v>113</v>
      </c>
      <c r="C28" s="5" t="s">
        <v>46</v>
      </c>
      <c r="D28" s="5" t="s">
        <v>114</v>
      </c>
      <c r="E28" s="5" t="n">
        <v>2</v>
      </c>
      <c r="F28" s="5" t="s">
        <v>115</v>
      </c>
      <c r="G28" s="5" t="s">
        <v>120</v>
      </c>
      <c r="H28" s="5"/>
    </row>
    <row r="29" customFormat="false" ht="24" hidden="false" customHeight="false" outlineLevel="0" collapsed="false">
      <c r="A29" s="4" t="s">
        <v>121</v>
      </c>
      <c r="B29" s="4" t="s">
        <v>113</v>
      </c>
      <c r="C29" s="4" t="s">
        <v>46</v>
      </c>
      <c r="D29" s="4" t="s">
        <v>114</v>
      </c>
      <c r="E29" s="4" t="n">
        <v>2</v>
      </c>
      <c r="F29" s="4" t="s">
        <v>122</v>
      </c>
      <c r="G29" s="4" t="s">
        <v>123</v>
      </c>
      <c r="H29" s="4" t="s">
        <v>124</v>
      </c>
    </row>
    <row r="30" customFormat="false" ht="15" hidden="false" customHeight="false" outlineLevel="0" collapsed="false">
      <c r="A30" s="5" t="s">
        <v>125</v>
      </c>
      <c r="B30" s="5" t="s">
        <v>113</v>
      </c>
      <c r="C30" s="5" t="s">
        <v>46</v>
      </c>
      <c r="D30" s="5" t="s">
        <v>114</v>
      </c>
      <c r="E30" s="5" t="n">
        <v>2</v>
      </c>
      <c r="F30" s="5" t="s">
        <v>126</v>
      </c>
      <c r="G30" s="5" t="s">
        <v>127</v>
      </c>
      <c r="H30" s="5"/>
    </row>
    <row r="31" customFormat="false" ht="15" hidden="false" customHeight="false" outlineLevel="0" collapsed="false">
      <c r="A31" s="4" t="s">
        <v>128</v>
      </c>
      <c r="B31" s="4" t="s">
        <v>113</v>
      </c>
      <c r="C31" s="4" t="s">
        <v>46</v>
      </c>
      <c r="D31" s="4" t="s">
        <v>114</v>
      </c>
      <c r="E31" s="4" t="n">
        <v>2</v>
      </c>
      <c r="F31" s="4" t="s">
        <v>126</v>
      </c>
      <c r="G31" s="4" t="s">
        <v>129</v>
      </c>
      <c r="H31" s="4"/>
    </row>
    <row r="32" customFormat="false" ht="15" hidden="false" customHeight="false" outlineLevel="0" collapsed="false">
      <c r="A32" s="5" t="s">
        <v>130</v>
      </c>
      <c r="B32" s="5" t="s">
        <v>113</v>
      </c>
      <c r="C32" s="5" t="s">
        <v>46</v>
      </c>
      <c r="D32" s="5" t="s">
        <v>114</v>
      </c>
      <c r="E32" s="5" t="n">
        <v>2</v>
      </c>
      <c r="F32" s="5" t="s">
        <v>126</v>
      </c>
      <c r="G32" s="5" t="s">
        <v>131</v>
      </c>
      <c r="H32" s="5"/>
    </row>
    <row r="33" customFormat="false" ht="15" hidden="false" customHeight="false" outlineLevel="0" collapsed="false">
      <c r="A33" s="4" t="s">
        <v>132</v>
      </c>
      <c r="B33" s="4" t="s">
        <v>113</v>
      </c>
      <c r="C33" s="4" t="s">
        <v>46</v>
      </c>
      <c r="D33" s="4" t="s">
        <v>114</v>
      </c>
      <c r="E33" s="4" t="n">
        <v>2</v>
      </c>
      <c r="F33" s="4" t="s">
        <v>133</v>
      </c>
      <c r="G33" s="4" t="s">
        <v>134</v>
      </c>
      <c r="H33" s="4"/>
    </row>
    <row r="34" customFormat="false" ht="15" hidden="false" customHeight="false" outlineLevel="0" collapsed="false">
      <c r="A34" s="5" t="s">
        <v>135</v>
      </c>
      <c r="B34" s="5" t="s">
        <v>113</v>
      </c>
      <c r="C34" s="5" t="s">
        <v>46</v>
      </c>
      <c r="D34" s="5" t="s">
        <v>114</v>
      </c>
      <c r="E34" s="5" t="n">
        <v>2</v>
      </c>
      <c r="F34" s="5" t="s">
        <v>133</v>
      </c>
      <c r="G34" s="5" t="s">
        <v>136</v>
      </c>
      <c r="H34" s="5"/>
    </row>
    <row r="35" customFormat="false" ht="15" hidden="false" customHeight="false" outlineLevel="0" collapsed="false">
      <c r="A35" s="4" t="s">
        <v>137</v>
      </c>
      <c r="B35" s="4" t="s">
        <v>113</v>
      </c>
      <c r="C35" s="4" t="s">
        <v>46</v>
      </c>
      <c r="D35" s="4" t="s">
        <v>114</v>
      </c>
      <c r="E35" s="4" t="n">
        <v>2</v>
      </c>
      <c r="F35" s="4" t="s">
        <v>133</v>
      </c>
      <c r="G35" s="4" t="s">
        <v>138</v>
      </c>
      <c r="H35" s="4"/>
    </row>
    <row r="36" customFormat="false" ht="15" hidden="false" customHeight="false" outlineLevel="0" collapsed="false">
      <c r="A36" s="5" t="s">
        <v>139</v>
      </c>
      <c r="B36" s="5" t="s">
        <v>113</v>
      </c>
      <c r="C36" s="5" t="s">
        <v>46</v>
      </c>
      <c r="D36" s="5" t="s">
        <v>140</v>
      </c>
      <c r="E36" s="5" t="n">
        <v>3</v>
      </c>
      <c r="F36" s="5" t="s">
        <v>141</v>
      </c>
      <c r="G36" s="5" t="s">
        <v>142</v>
      </c>
      <c r="H36" s="5" t="s">
        <v>143</v>
      </c>
    </row>
    <row r="37" customFormat="false" ht="15" hidden="false" customHeight="false" outlineLevel="0" collapsed="false">
      <c r="A37" s="4" t="s">
        <v>144</v>
      </c>
      <c r="B37" s="4" t="s">
        <v>113</v>
      </c>
      <c r="C37" s="4" t="s">
        <v>46</v>
      </c>
      <c r="D37" s="4" t="s">
        <v>114</v>
      </c>
      <c r="E37" s="4" t="n">
        <v>2</v>
      </c>
      <c r="F37" s="4" t="s">
        <v>145</v>
      </c>
      <c r="G37" s="4" t="s">
        <v>146</v>
      </c>
      <c r="H37" s="4"/>
    </row>
    <row r="38" customFormat="false" ht="15" hidden="false" customHeight="false" outlineLevel="0" collapsed="false">
      <c r="A38" s="5" t="s">
        <v>147</v>
      </c>
      <c r="B38" s="5" t="s">
        <v>113</v>
      </c>
      <c r="C38" s="5" t="s">
        <v>46</v>
      </c>
      <c r="D38" s="5" t="s">
        <v>88</v>
      </c>
      <c r="E38" s="5" t="n">
        <v>4</v>
      </c>
      <c r="F38" s="5" t="s">
        <v>148</v>
      </c>
      <c r="G38" s="5" t="s">
        <v>149</v>
      </c>
      <c r="H38" s="5" t="s">
        <v>150</v>
      </c>
    </row>
    <row r="39" customFormat="false" ht="15" hidden="false" customHeight="false" outlineLevel="0" collapsed="false">
      <c r="A39" s="4" t="s">
        <v>151</v>
      </c>
      <c r="B39" s="4" t="s">
        <v>113</v>
      </c>
      <c r="C39" s="4" t="s">
        <v>46</v>
      </c>
      <c r="D39" s="4" t="s">
        <v>79</v>
      </c>
      <c r="E39" s="4" t="n">
        <v>3</v>
      </c>
      <c r="F39" s="4" t="s">
        <v>152</v>
      </c>
      <c r="G39" s="4" t="s">
        <v>153</v>
      </c>
      <c r="H39" s="4"/>
    </row>
    <row r="40" customFormat="false" ht="15" hidden="false" customHeight="false" outlineLevel="0" collapsed="false">
      <c r="A40" s="5" t="s">
        <v>154</v>
      </c>
      <c r="B40" s="5" t="s">
        <v>113</v>
      </c>
      <c r="C40" s="5" t="s">
        <v>46</v>
      </c>
      <c r="D40" s="5" t="s">
        <v>79</v>
      </c>
      <c r="E40" s="5" t="n">
        <v>3</v>
      </c>
      <c r="F40" s="5" t="s">
        <v>152</v>
      </c>
      <c r="G40" s="5" t="s">
        <v>155</v>
      </c>
      <c r="H40" s="5"/>
    </row>
    <row r="41" customFormat="false" ht="15" hidden="false" customHeight="false" outlineLevel="0" collapsed="false">
      <c r="A41" s="4" t="s">
        <v>156</v>
      </c>
      <c r="B41" s="4" t="s">
        <v>113</v>
      </c>
      <c r="C41" s="4" t="s">
        <v>46</v>
      </c>
      <c r="D41" s="4" t="s">
        <v>52</v>
      </c>
      <c r="E41" s="4" t="n">
        <v>4</v>
      </c>
      <c r="F41" s="4" t="s">
        <v>157</v>
      </c>
      <c r="G41" s="4" t="s">
        <v>158</v>
      </c>
      <c r="H41" s="4"/>
    </row>
    <row r="42" customFormat="false" ht="15" hidden="false" customHeight="false" outlineLevel="0" collapsed="false">
      <c r="A42" s="5" t="s">
        <v>159</v>
      </c>
      <c r="B42" s="5" t="s">
        <v>113</v>
      </c>
      <c r="C42" s="5" t="s">
        <v>46</v>
      </c>
      <c r="D42" s="5" t="s">
        <v>88</v>
      </c>
      <c r="E42" s="5" t="n">
        <v>4</v>
      </c>
      <c r="F42" s="5" t="s">
        <v>160</v>
      </c>
      <c r="G42" s="5" t="s">
        <v>161</v>
      </c>
      <c r="H42" s="5"/>
    </row>
    <row r="43" customFormat="false" ht="24" hidden="false" customHeight="false" outlineLevel="0" collapsed="false">
      <c r="A43" s="4" t="s">
        <v>162</v>
      </c>
      <c r="B43" s="4" t="s">
        <v>163</v>
      </c>
      <c r="C43" s="4" t="s">
        <v>68</v>
      </c>
      <c r="D43" s="4" t="s">
        <v>164</v>
      </c>
      <c r="E43" s="4" t="n">
        <v>1</v>
      </c>
      <c r="F43" s="4" t="s">
        <v>165</v>
      </c>
      <c r="G43" s="4" t="s">
        <v>166</v>
      </c>
      <c r="H43" s="4" t="s">
        <v>167</v>
      </c>
    </row>
    <row r="44" customFormat="false" ht="24" hidden="false" customHeight="false" outlineLevel="0" collapsed="false">
      <c r="A44" s="5" t="s">
        <v>168</v>
      </c>
      <c r="B44" s="5" t="s">
        <v>163</v>
      </c>
      <c r="C44" s="5" t="s">
        <v>68</v>
      </c>
      <c r="D44" s="5" t="s">
        <v>164</v>
      </c>
      <c r="E44" s="5" t="n">
        <v>1</v>
      </c>
      <c r="F44" s="5" t="s">
        <v>165</v>
      </c>
      <c r="G44" s="5" t="s">
        <v>169</v>
      </c>
      <c r="H44" s="5" t="s">
        <v>167</v>
      </c>
    </row>
    <row r="45" customFormat="false" ht="24" hidden="false" customHeight="false" outlineLevel="0" collapsed="false">
      <c r="A45" s="4" t="s">
        <v>170</v>
      </c>
      <c r="B45" s="4" t="s">
        <v>163</v>
      </c>
      <c r="C45" s="4" t="s">
        <v>68</v>
      </c>
      <c r="D45" s="4" t="s">
        <v>164</v>
      </c>
      <c r="E45" s="4" t="n">
        <v>1</v>
      </c>
      <c r="F45" s="4" t="s">
        <v>165</v>
      </c>
      <c r="G45" s="4" t="s">
        <v>171</v>
      </c>
      <c r="H45" s="4" t="s">
        <v>167</v>
      </c>
    </row>
    <row r="46" customFormat="false" ht="15" hidden="false" customHeight="false" outlineLevel="0" collapsed="false">
      <c r="A46" s="5" t="s">
        <v>172</v>
      </c>
      <c r="B46" s="5" t="s">
        <v>173</v>
      </c>
      <c r="C46" s="5" t="s">
        <v>174</v>
      </c>
      <c r="D46" s="5" t="s">
        <v>175</v>
      </c>
      <c r="E46" s="5" t="n">
        <v>2</v>
      </c>
      <c r="F46" s="5" t="s">
        <v>176</v>
      </c>
      <c r="G46" s="5" t="s">
        <v>177</v>
      </c>
      <c r="H46" s="5"/>
    </row>
    <row r="47" customFormat="false" ht="15" hidden="false" customHeight="false" outlineLevel="0" collapsed="false">
      <c r="A47" s="4" t="s">
        <v>178</v>
      </c>
      <c r="B47" s="4" t="s">
        <v>179</v>
      </c>
      <c r="C47" s="4" t="s">
        <v>180</v>
      </c>
      <c r="D47" s="4" t="s">
        <v>47</v>
      </c>
      <c r="E47" s="4" t="n">
        <v>2</v>
      </c>
      <c r="F47" s="4" t="s">
        <v>181</v>
      </c>
      <c r="G47" s="4" t="s">
        <v>182</v>
      </c>
      <c r="H47" s="4" t="s">
        <v>183</v>
      </c>
    </row>
    <row r="48" customFormat="false" ht="15" hidden="false" customHeight="false" outlineLevel="0" collapsed="false">
      <c r="A48" s="5" t="s">
        <v>184</v>
      </c>
      <c r="B48" s="5" t="s">
        <v>179</v>
      </c>
      <c r="C48" s="5" t="s">
        <v>180</v>
      </c>
      <c r="D48" s="5" t="s">
        <v>52</v>
      </c>
      <c r="E48" s="5" t="n">
        <v>4</v>
      </c>
      <c r="F48" s="5" t="s">
        <v>185</v>
      </c>
      <c r="G48" s="5" t="s">
        <v>186</v>
      </c>
      <c r="H48" s="5" t="s">
        <v>187</v>
      </c>
    </row>
  </sheetData>
  <autoFilter ref="A4:H48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5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9"/>
    <col collapsed="false" customWidth="true" hidden="false" outlineLevel="0" max="8" min="8" style="0" width="22"/>
    <col collapsed="false" customWidth="true" hidden="false" outlineLevel="0" max="10" min="9" style="0" width="58"/>
  </cols>
  <sheetData>
    <row r="1" customFormat="false" ht="27.75" hidden="false" customHeight="true" outlineLevel="0" collapsed="false">
      <c r="A1" s="1" t="s">
        <v>188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3.75" hidden="false" customHeight="true" outlineLevel="0" collapsed="false">
      <c r="A2" s="2" t="s">
        <v>189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190</v>
      </c>
      <c r="B4" s="3" t="s">
        <v>191</v>
      </c>
      <c r="C4" s="3" t="s">
        <v>192</v>
      </c>
      <c r="D4" s="3" t="s">
        <v>193</v>
      </c>
      <c r="E4" s="3" t="s">
        <v>194</v>
      </c>
      <c r="F4" s="3" t="s">
        <v>195</v>
      </c>
      <c r="G4" s="3" t="s">
        <v>196</v>
      </c>
      <c r="H4" s="3" t="s">
        <v>197</v>
      </c>
      <c r="I4" s="3" t="s">
        <v>198</v>
      </c>
      <c r="J4" s="3" t="s">
        <v>43</v>
      </c>
    </row>
    <row r="5" customFormat="false" ht="15" hidden="false" customHeight="false" outlineLevel="0" collapsed="false">
      <c r="A5" s="4" t="s">
        <v>199</v>
      </c>
      <c r="B5" s="4" t="s">
        <v>200</v>
      </c>
      <c r="C5" s="4" t="s">
        <v>201</v>
      </c>
      <c r="D5" s="4" t="s">
        <v>202</v>
      </c>
      <c r="E5" s="4" t="n">
        <f aca="false">SUMIF($A$14:$A$51,A5,$F$14:$F$51)</f>
        <v>21</v>
      </c>
      <c r="F5" s="4" t="n">
        <v>1</v>
      </c>
      <c r="G5" s="4" t="n">
        <f aca="false">E5+F5</f>
        <v>22</v>
      </c>
      <c r="H5" s="4" t="n">
        <f aca="false">ROUNDUP(G5/8,0)</f>
        <v>3</v>
      </c>
      <c r="I5" s="4" t="n">
        <v>0</v>
      </c>
      <c r="J5" s="4" t="s">
        <v>203</v>
      </c>
    </row>
    <row r="6" customFormat="false" ht="15" hidden="false" customHeight="false" outlineLevel="0" collapsed="false">
      <c r="A6" s="5" t="s">
        <v>204</v>
      </c>
      <c r="B6" s="5" t="s">
        <v>205</v>
      </c>
      <c r="C6" s="5" t="s">
        <v>201</v>
      </c>
      <c r="D6" s="5" t="s">
        <v>206</v>
      </c>
      <c r="E6" s="5" t="n">
        <f aca="false">SUMIF($A$14:$A$51,A6,$F$14:$F$51)</f>
        <v>62</v>
      </c>
      <c r="F6" s="5" t="n">
        <v>1</v>
      </c>
      <c r="G6" s="5" t="n">
        <f aca="false">E6+F6</f>
        <v>63</v>
      </c>
      <c r="H6" s="5" t="n">
        <f aca="false">ROUNDUP(G6/8,0)</f>
        <v>8</v>
      </c>
      <c r="I6" s="5" t="n">
        <v>0</v>
      </c>
      <c r="J6" s="5" t="s">
        <v>207</v>
      </c>
    </row>
    <row r="7" customFormat="false" ht="15" hidden="false" customHeight="false" outlineLevel="0" collapsed="false">
      <c r="A7" s="4" t="s">
        <v>208</v>
      </c>
      <c r="B7" s="4" t="s">
        <v>209</v>
      </c>
      <c r="C7" s="4" t="s">
        <v>210</v>
      </c>
      <c r="D7" s="4" t="s">
        <v>211</v>
      </c>
      <c r="E7" s="4" t="n">
        <f aca="false">SUMIF($A$14:$A$51,A7,$F$14:$F$51)</f>
        <v>17</v>
      </c>
      <c r="F7" s="4" t="n">
        <v>1</v>
      </c>
      <c r="G7" s="4" t="n">
        <f aca="false">E7+F7</f>
        <v>18</v>
      </c>
      <c r="H7" s="4" t="n">
        <f aca="false">ROUNDUP(G7/8,0)</f>
        <v>3</v>
      </c>
      <c r="I7" s="4" t="n">
        <v>0</v>
      </c>
      <c r="J7" s="4" t="s">
        <v>212</v>
      </c>
    </row>
    <row r="8" customFormat="false" ht="15" hidden="false" customHeight="false" outlineLevel="0" collapsed="false">
      <c r="A8" s="5" t="s">
        <v>213</v>
      </c>
      <c r="B8" s="5" t="s">
        <v>172</v>
      </c>
      <c r="C8" s="5" t="s">
        <v>214</v>
      </c>
      <c r="D8" s="5" t="s">
        <v>215</v>
      </c>
      <c r="E8" s="5" t="n">
        <f aca="false">SUMIF($A$14:$A$51,A8,$F$14:$F$51)</f>
        <v>8</v>
      </c>
      <c r="F8" s="5" t="n">
        <v>1</v>
      </c>
      <c r="G8" s="5" t="n">
        <f aca="false">E8+F8</f>
        <v>9</v>
      </c>
      <c r="H8" s="5" t="n">
        <f aca="false">ROUNDUP(G8/8,0)</f>
        <v>2</v>
      </c>
      <c r="I8" s="5" t="n">
        <v>0</v>
      </c>
      <c r="J8" s="5" t="s">
        <v>216</v>
      </c>
    </row>
    <row r="9" customFormat="false" ht="15" hidden="false" customHeight="false" outlineLevel="0" collapsed="false">
      <c r="A9" s="4" t="s">
        <v>217</v>
      </c>
      <c r="B9" s="4" t="s">
        <v>218</v>
      </c>
      <c r="C9" s="4" t="s">
        <v>219</v>
      </c>
      <c r="D9" s="4" t="s">
        <v>220</v>
      </c>
      <c r="E9" s="4" t="n">
        <f aca="false">SUMIF($A$14:$A$51,A9,$F$14:$F$51)</f>
        <v>6</v>
      </c>
      <c r="F9" s="4" t="n">
        <v>1</v>
      </c>
      <c r="G9" s="4" t="n">
        <f aca="false">E9+F9</f>
        <v>7</v>
      </c>
      <c r="H9" s="4" t="n">
        <f aca="false">ROUNDUP(G9/8,0)</f>
        <v>1</v>
      </c>
      <c r="I9" s="4" t="n">
        <v>0</v>
      </c>
      <c r="J9" s="4" t="s">
        <v>221</v>
      </c>
    </row>
    <row r="13" customFormat="false" ht="30" hidden="false" customHeight="true" outlineLevel="0" collapsed="false">
      <c r="A13" s="3" t="s">
        <v>190</v>
      </c>
      <c r="B13" s="3" t="s">
        <v>222</v>
      </c>
      <c r="C13" s="3" t="s">
        <v>223</v>
      </c>
      <c r="D13" s="3" t="s">
        <v>36</v>
      </c>
      <c r="E13" s="3" t="s">
        <v>224</v>
      </c>
      <c r="F13" s="3" t="s">
        <v>225</v>
      </c>
      <c r="G13" s="3" t="s">
        <v>226</v>
      </c>
      <c r="H13" s="3" t="s">
        <v>39</v>
      </c>
      <c r="I13" s="3" t="s">
        <v>41</v>
      </c>
      <c r="J13" s="3" t="s">
        <v>42</v>
      </c>
    </row>
    <row r="14" customFormat="false" ht="15" hidden="false" customHeight="false" outlineLevel="0" collapsed="false">
      <c r="A14" s="4" t="s">
        <v>199</v>
      </c>
      <c r="B14" s="4" t="s">
        <v>200</v>
      </c>
      <c r="C14" s="4" t="n">
        <v>1</v>
      </c>
      <c r="D14" s="4" t="s">
        <v>44</v>
      </c>
      <c r="E14" s="4" t="n">
        <f aca="false">SUMIF($A$14:A14,A14,$F$14:F14)-F14</f>
        <v>0</v>
      </c>
      <c r="F14" s="4" t="n">
        <f aca="false">IFERROR(INDEX(Fields!$E$5:$E$48,MATCH(D14,Fields!$A$5:$A$48,0)),0)</f>
        <v>2</v>
      </c>
      <c r="G14" s="4" t="n">
        <f aca="false">E14+F14-1</f>
        <v>1</v>
      </c>
      <c r="H14" s="4" t="str">
        <f aca="false">IFERROR(INDEX(Fields!$D$5:$D$48,MATCH(D14,Fields!$A$5:$A$48,0)),"MISSING")</f>
        <v>bitfield[16]</v>
      </c>
      <c r="I14" s="4" t="str">
        <f aca="false">IFERROR(INDEX(Fields!$F$5:$F$48,MATCH(D14,Fields!$A$5:$A$48,0)),"MISSING")</f>
        <v>Byte 0 contains status flags; byte 1 is reserved. No numeric scale.</v>
      </c>
      <c r="J14" s="4" t="str">
        <f aca="false">IFERROR(INDEX(Fields!$G$5:$G$48,MATCH(D14,Fields!$A$5:$A$48,0)),"MISSING")</f>
        <v>IRIS_FIELD_WITNESS_STATUS_LENGTH</v>
      </c>
    </row>
    <row r="15" customFormat="false" ht="15" hidden="false" customHeight="false" outlineLevel="0" collapsed="false">
      <c r="A15" s="5" t="s">
        <v>199</v>
      </c>
      <c r="B15" s="5" t="s">
        <v>200</v>
      </c>
      <c r="C15" s="5" t="n">
        <v>2</v>
      </c>
      <c r="D15" s="5" t="s">
        <v>51</v>
      </c>
      <c r="E15" s="5" t="n">
        <f aca="false">SUMIF($A$14:A15,A15,$F$14:F15)-F15</f>
        <v>2</v>
      </c>
      <c r="F15" s="5" t="n">
        <f aca="false">IFERROR(INDEX(Fields!$E$5:$E$48,MATCH(D15,Fields!$A$5:$A$48,0)),0)</f>
        <v>4</v>
      </c>
      <c r="G15" s="5" t="n">
        <f aca="false">E15+F15-1</f>
        <v>5</v>
      </c>
      <c r="H15" s="5" t="str">
        <f aca="false">IFERROR(INDEX(Fields!$D$5:$D$48,MATCH(D15,Fields!$A$5:$A$48,0)),"MISSING")</f>
        <v>uint32</v>
      </c>
      <c r="I15" s="5" t="str">
        <f aca="false">IFERROR(INDEX(Fields!$F$5:$F$48,MATCH(D15,Fields!$A$5:$A$48,0)),"MISSING")</f>
        <v>1 ms/count; elapsed time since boot.</v>
      </c>
      <c r="J15" s="5" t="str">
        <f aca="false">IFERROR(INDEX(Fields!$G$5:$G$48,MATCH(D15,Fields!$A$5:$A$48,0)),"MISSING")</f>
        <v>IRIS_FIELD_WITNESS_UPTIME_LENGTH</v>
      </c>
    </row>
    <row r="16" customFormat="false" ht="24" hidden="false" customHeight="false" outlineLevel="0" collapsed="false">
      <c r="A16" s="4" t="s">
        <v>199</v>
      </c>
      <c r="B16" s="4" t="s">
        <v>200</v>
      </c>
      <c r="C16" s="4" t="n">
        <v>3</v>
      </c>
      <c r="D16" s="4" t="s">
        <v>77</v>
      </c>
      <c r="E16" s="4" t="n">
        <f aca="false">SUMIF($A$14:A16,A16,$F$14:F16)-F16</f>
        <v>6</v>
      </c>
      <c r="F16" s="4" t="n">
        <f aca="false">IFERROR(INDEX(Fields!$E$5:$E$48,MATCH(D16,Fields!$A$5:$A$48,0)),0)</f>
        <v>3</v>
      </c>
      <c r="G16" s="4" t="n">
        <f aca="false">E16+F16-1</f>
        <v>8</v>
      </c>
      <c r="H16" s="4" t="str">
        <f aca="false">IFERROR(INDEX(Fields!$D$5:$D$48,MATCH(D16,Fields!$A$5:$A$48,0)),"MISSING")</f>
        <v>signed int24</v>
      </c>
      <c r="I16" s="4" t="str">
        <f aca="false">IFERROR(INDEX(Fields!$F$5:$F$48,MATCH(D16,Fields!$A$5:$A$48,0)),"MISSING")</f>
        <v>40 micro-g/count; acceleration in g = raw x 0.000040; range approximately -335.54 to +335.54 g.</v>
      </c>
      <c r="J16" s="4" t="str">
        <f aca="false">IFERROR(INDEX(Fields!$G$5:$G$48,MATCH(D16,Fields!$A$5:$A$48,0)),"MISSING")</f>
        <v>IRIS_FIELD_FILTERED_ACCEL_X_LENGTH</v>
      </c>
    </row>
    <row r="17" customFormat="false" ht="24" hidden="false" customHeight="false" outlineLevel="0" collapsed="false">
      <c r="A17" s="5" t="s">
        <v>199</v>
      </c>
      <c r="B17" s="5" t="s">
        <v>200</v>
      </c>
      <c r="C17" s="5" t="n">
        <v>4</v>
      </c>
      <c r="D17" s="5" t="s">
        <v>83</v>
      </c>
      <c r="E17" s="5" t="n">
        <f aca="false">SUMIF($A$14:A17,A17,$F$14:F17)-F17</f>
        <v>9</v>
      </c>
      <c r="F17" s="5" t="n">
        <f aca="false">IFERROR(INDEX(Fields!$E$5:$E$48,MATCH(D17,Fields!$A$5:$A$48,0)),0)</f>
        <v>3</v>
      </c>
      <c r="G17" s="5" t="n">
        <f aca="false">E17+F17-1</f>
        <v>11</v>
      </c>
      <c r="H17" s="5" t="str">
        <f aca="false">IFERROR(INDEX(Fields!$D$5:$D$48,MATCH(D17,Fields!$A$5:$A$48,0)),"MISSING")</f>
        <v>signed int24</v>
      </c>
      <c r="I17" s="5" t="str">
        <f aca="false">IFERROR(INDEX(Fields!$F$5:$F$48,MATCH(D17,Fields!$A$5:$A$48,0)),"MISSING")</f>
        <v>40 micro-g/count; acceleration in g = raw x 0.000040; range approximately -335.54 to +335.54 g.</v>
      </c>
      <c r="J17" s="5" t="str">
        <f aca="false">IFERROR(INDEX(Fields!$G$5:$G$48,MATCH(D17,Fields!$A$5:$A$48,0)),"MISSING")</f>
        <v>IRIS_FIELD_FILTERED_ACCEL_Y_LENGTH</v>
      </c>
    </row>
    <row r="18" customFormat="false" ht="24" hidden="false" customHeight="false" outlineLevel="0" collapsed="false">
      <c r="A18" s="4" t="s">
        <v>199</v>
      </c>
      <c r="B18" s="4" t="s">
        <v>200</v>
      </c>
      <c r="C18" s="4" t="n">
        <v>5</v>
      </c>
      <c r="D18" s="4" t="s">
        <v>85</v>
      </c>
      <c r="E18" s="4" t="n">
        <f aca="false">SUMIF($A$14:A18,A18,$F$14:F18)-F18</f>
        <v>12</v>
      </c>
      <c r="F18" s="4" t="n">
        <f aca="false">IFERROR(INDEX(Fields!$E$5:$E$48,MATCH(D18,Fields!$A$5:$A$48,0)),0)</f>
        <v>3</v>
      </c>
      <c r="G18" s="4" t="n">
        <f aca="false">E18+F18-1</f>
        <v>14</v>
      </c>
      <c r="H18" s="4" t="str">
        <f aca="false">IFERROR(INDEX(Fields!$D$5:$D$48,MATCH(D18,Fields!$A$5:$A$48,0)),"MISSING")</f>
        <v>signed int24</v>
      </c>
      <c r="I18" s="4" t="str">
        <f aca="false">IFERROR(INDEX(Fields!$F$5:$F$48,MATCH(D18,Fields!$A$5:$A$48,0)),"MISSING")</f>
        <v>40 micro-g/count; acceleration in g = raw x 0.000040; range approximately -335.54 to +335.54 g.</v>
      </c>
      <c r="J18" s="4" t="str">
        <f aca="false">IFERROR(INDEX(Fields!$G$5:$G$48,MATCH(D18,Fields!$A$5:$A$48,0)),"MISSING")</f>
        <v>IRIS_FIELD_FILTERED_ACCEL_Z_LENGTH</v>
      </c>
    </row>
    <row r="19" customFormat="false" ht="15" hidden="false" customHeight="false" outlineLevel="0" collapsed="false">
      <c r="A19" s="5" t="s">
        <v>199</v>
      </c>
      <c r="B19" s="5" t="s">
        <v>200</v>
      </c>
      <c r="C19" s="5" t="n">
        <v>6</v>
      </c>
      <c r="D19" s="5" t="s">
        <v>132</v>
      </c>
      <c r="E19" s="5" t="n">
        <f aca="false">SUMIF($A$14:A19,A19,$F$14:F19)-F19</f>
        <v>15</v>
      </c>
      <c r="F19" s="5" t="n">
        <f aca="false">IFERROR(INDEX(Fields!$E$5:$E$48,MATCH(D19,Fields!$A$5:$A$48,0)),0)</f>
        <v>2</v>
      </c>
      <c r="G19" s="5" t="n">
        <f aca="false">E19+F19-1</f>
        <v>16</v>
      </c>
      <c r="H19" s="5" t="str">
        <f aca="false">IFERROR(INDEX(Fields!$D$5:$D$48,MATCH(D19,Fields!$A$5:$A$48,0)),"MISSING")</f>
        <v>int16</v>
      </c>
      <c r="I19" s="5" t="str">
        <f aca="false">IFERROR(INDEX(Fields!$F$5:$F$48,MATCH(D19,Fields!$A$5:$A$48,0)),"MISSING")</f>
        <v>70 mdps/count at +/-2000 dps.</v>
      </c>
      <c r="J19" s="5" t="str">
        <f aca="false">IFERROR(INDEX(Fields!$G$5:$G$48,MATCH(D19,Fields!$A$5:$A$48,0)),"MISSING")</f>
        <v>IRIS_FIELD_LSM6_GYRO_X_LENGTH</v>
      </c>
    </row>
    <row r="20" customFormat="false" ht="15" hidden="false" customHeight="false" outlineLevel="0" collapsed="false">
      <c r="A20" s="4" t="s">
        <v>199</v>
      </c>
      <c r="B20" s="4" t="s">
        <v>200</v>
      </c>
      <c r="C20" s="4" t="n">
        <v>7</v>
      </c>
      <c r="D20" s="4" t="s">
        <v>135</v>
      </c>
      <c r="E20" s="4" t="n">
        <f aca="false">SUMIF($A$14:A20,A20,$F$14:F20)-F20</f>
        <v>17</v>
      </c>
      <c r="F20" s="4" t="n">
        <f aca="false">IFERROR(INDEX(Fields!$E$5:$E$48,MATCH(D20,Fields!$A$5:$A$48,0)),0)</f>
        <v>2</v>
      </c>
      <c r="G20" s="4" t="n">
        <f aca="false">E20+F20-1</f>
        <v>18</v>
      </c>
      <c r="H20" s="4" t="str">
        <f aca="false">IFERROR(INDEX(Fields!$D$5:$D$48,MATCH(D20,Fields!$A$5:$A$48,0)),"MISSING")</f>
        <v>int16</v>
      </c>
      <c r="I20" s="4" t="str">
        <f aca="false">IFERROR(INDEX(Fields!$F$5:$F$48,MATCH(D20,Fields!$A$5:$A$48,0)),"MISSING")</f>
        <v>70 mdps/count at +/-2000 dps.</v>
      </c>
      <c r="J20" s="4" t="str">
        <f aca="false">IFERROR(INDEX(Fields!$G$5:$G$48,MATCH(D20,Fields!$A$5:$A$48,0)),"MISSING")</f>
        <v>IRIS_FIELD_LSM6_GYRO_Y_LENGTH</v>
      </c>
    </row>
    <row r="21" customFormat="false" ht="15" hidden="false" customHeight="false" outlineLevel="0" collapsed="false">
      <c r="A21" s="5" t="s">
        <v>199</v>
      </c>
      <c r="B21" s="5" t="s">
        <v>200</v>
      </c>
      <c r="C21" s="5" t="n">
        <v>8</v>
      </c>
      <c r="D21" s="5" t="s">
        <v>137</v>
      </c>
      <c r="E21" s="5" t="n">
        <f aca="false">SUMIF($A$14:A21,A21,$F$14:F21)-F21</f>
        <v>19</v>
      </c>
      <c r="F21" s="5" t="n">
        <f aca="false">IFERROR(INDEX(Fields!$E$5:$E$48,MATCH(D21,Fields!$A$5:$A$48,0)),0)</f>
        <v>2</v>
      </c>
      <c r="G21" s="5" t="n">
        <f aca="false">E21+F21-1</f>
        <v>20</v>
      </c>
      <c r="H21" s="5" t="str">
        <f aca="false">IFERROR(INDEX(Fields!$D$5:$D$48,MATCH(D21,Fields!$A$5:$A$48,0)),"MISSING")</f>
        <v>int16</v>
      </c>
      <c r="I21" s="5" t="str">
        <f aca="false">IFERROR(INDEX(Fields!$F$5:$F$48,MATCH(D21,Fields!$A$5:$A$48,0)),"MISSING")</f>
        <v>70 mdps/count at +/-2000 dps.</v>
      </c>
      <c r="J21" s="5" t="str">
        <f aca="false">IFERROR(INDEX(Fields!$G$5:$G$48,MATCH(D21,Fields!$A$5:$A$48,0)),"MISSING")</f>
        <v>IRIS_FIELD_LSM6_GYRO_Z_LENGTH</v>
      </c>
    </row>
    <row r="22" customFormat="false" ht="15" hidden="false" customHeight="false" outlineLevel="0" collapsed="false">
      <c r="A22" s="4" t="s">
        <v>204</v>
      </c>
      <c r="B22" s="4" t="s">
        <v>205</v>
      </c>
      <c r="C22" s="4" t="n">
        <v>1</v>
      </c>
      <c r="D22" s="4" t="s">
        <v>44</v>
      </c>
      <c r="E22" s="4" t="n">
        <f aca="false">SUMIF($A$14:A22,A22,$F$14:F22)-F22</f>
        <v>0</v>
      </c>
      <c r="F22" s="4" t="n">
        <f aca="false">IFERROR(INDEX(Fields!$E$5:$E$48,MATCH(D22,Fields!$A$5:$A$48,0)),0)</f>
        <v>2</v>
      </c>
      <c r="G22" s="4" t="n">
        <f aca="false">E22+F22-1</f>
        <v>1</v>
      </c>
      <c r="H22" s="4" t="str">
        <f aca="false">IFERROR(INDEX(Fields!$D$5:$D$48,MATCH(D22,Fields!$A$5:$A$48,0)),"MISSING")</f>
        <v>bitfield[16]</v>
      </c>
      <c r="I22" s="4" t="str">
        <f aca="false">IFERROR(INDEX(Fields!$F$5:$F$48,MATCH(D22,Fields!$A$5:$A$48,0)),"MISSING")</f>
        <v>Byte 0 contains status flags; byte 1 is reserved. No numeric scale.</v>
      </c>
      <c r="J22" s="4" t="str">
        <f aca="false">IFERROR(INDEX(Fields!$G$5:$G$48,MATCH(D22,Fields!$A$5:$A$48,0)),"MISSING")</f>
        <v>IRIS_FIELD_WITNESS_STATUS_LENGTH</v>
      </c>
    </row>
    <row r="23" customFormat="false" ht="15" hidden="false" customHeight="false" outlineLevel="0" collapsed="false">
      <c r="A23" s="5" t="s">
        <v>204</v>
      </c>
      <c r="B23" s="5" t="s">
        <v>205</v>
      </c>
      <c r="C23" s="5" t="n">
        <v>2</v>
      </c>
      <c r="D23" s="5" t="s">
        <v>51</v>
      </c>
      <c r="E23" s="5" t="n">
        <f aca="false">SUMIF($A$14:A23,A23,$F$14:F23)-F23</f>
        <v>2</v>
      </c>
      <c r="F23" s="5" t="n">
        <f aca="false">IFERROR(INDEX(Fields!$E$5:$E$48,MATCH(D23,Fields!$A$5:$A$48,0)),0)</f>
        <v>4</v>
      </c>
      <c r="G23" s="5" t="n">
        <f aca="false">E23+F23-1</f>
        <v>5</v>
      </c>
      <c r="H23" s="5" t="str">
        <f aca="false">IFERROR(INDEX(Fields!$D$5:$D$48,MATCH(D23,Fields!$A$5:$A$48,0)),"MISSING")</f>
        <v>uint32</v>
      </c>
      <c r="I23" s="5" t="str">
        <f aca="false">IFERROR(INDEX(Fields!$F$5:$F$48,MATCH(D23,Fields!$A$5:$A$48,0)),"MISSING")</f>
        <v>1 ms/count; elapsed time since boot.</v>
      </c>
      <c r="J23" s="5" t="str">
        <f aca="false">IFERROR(INDEX(Fields!$G$5:$G$48,MATCH(D23,Fields!$A$5:$A$48,0)),"MISSING")</f>
        <v>IRIS_FIELD_WITNESS_UPTIME_LENGTH</v>
      </c>
    </row>
    <row r="24" customFormat="false" ht="15" hidden="false" customHeight="false" outlineLevel="0" collapsed="false">
      <c r="A24" s="4" t="s">
        <v>204</v>
      </c>
      <c r="B24" s="4" t="s">
        <v>205</v>
      </c>
      <c r="C24" s="4" t="n">
        <v>3</v>
      </c>
      <c r="D24" s="4" t="s">
        <v>87</v>
      </c>
      <c r="E24" s="4" t="n">
        <f aca="false">SUMIF($A$14:A24,A24,$F$14:F24)-F24</f>
        <v>6</v>
      </c>
      <c r="F24" s="4" t="n">
        <f aca="false">IFERROR(INDEX(Fields!$E$5:$E$48,MATCH(D24,Fields!$A$5:$A$48,0)),0)</f>
        <v>4</v>
      </c>
      <c r="G24" s="4" t="n">
        <f aca="false">E24+F24-1</f>
        <v>9</v>
      </c>
      <c r="H24" s="4" t="str">
        <f aca="false">IFERROR(INDEX(Fields!$D$5:$D$48,MATCH(D24,Fields!$A$5:$A$48,0)),"MISSING")</f>
        <v>IEEE-754 float32</v>
      </c>
      <c r="I24" s="4" t="str">
        <f aca="false">IFERROR(INDEX(Fields!$F$5:$F$48,MATCH(D24,Fields!$A$5:$A$48,0)),"MISSING")</f>
        <v>Unitless normalized quaternion component.</v>
      </c>
      <c r="J24" s="4" t="str">
        <f aca="false">IFERROR(INDEX(Fields!$G$5:$G$48,MATCH(D24,Fields!$A$5:$A$48,0)),"MISSING")</f>
        <v>IRIS_FIELD_ORIENTATION_QUAT_X_LENGTH</v>
      </c>
    </row>
    <row r="25" customFormat="false" ht="15" hidden="false" customHeight="false" outlineLevel="0" collapsed="false">
      <c r="A25" s="5" t="s">
        <v>204</v>
      </c>
      <c r="B25" s="5" t="s">
        <v>205</v>
      </c>
      <c r="C25" s="5" t="n">
        <v>4</v>
      </c>
      <c r="D25" s="5" t="s">
        <v>92</v>
      </c>
      <c r="E25" s="5" t="n">
        <f aca="false">SUMIF($A$14:A25,A25,$F$14:F25)-F25</f>
        <v>10</v>
      </c>
      <c r="F25" s="5" t="n">
        <f aca="false">IFERROR(INDEX(Fields!$E$5:$E$48,MATCH(D25,Fields!$A$5:$A$48,0)),0)</f>
        <v>4</v>
      </c>
      <c r="G25" s="5" t="n">
        <f aca="false">E25+F25-1</f>
        <v>13</v>
      </c>
      <c r="H25" s="5" t="str">
        <f aca="false">IFERROR(INDEX(Fields!$D$5:$D$48,MATCH(D25,Fields!$A$5:$A$48,0)),"MISSING")</f>
        <v>IEEE-754 float32</v>
      </c>
      <c r="I25" s="5" t="str">
        <f aca="false">IFERROR(INDEX(Fields!$F$5:$F$48,MATCH(D25,Fields!$A$5:$A$48,0)),"MISSING")</f>
        <v>Unitless normalized quaternion component.</v>
      </c>
      <c r="J25" s="5" t="str">
        <f aca="false">IFERROR(INDEX(Fields!$G$5:$G$48,MATCH(D25,Fields!$A$5:$A$48,0)),"MISSING")</f>
        <v>IRIS_FIELD_ORIENTATION_QUAT_Y_LENGTH</v>
      </c>
    </row>
    <row r="26" customFormat="false" ht="15" hidden="false" customHeight="false" outlineLevel="0" collapsed="false">
      <c r="A26" s="4" t="s">
        <v>204</v>
      </c>
      <c r="B26" s="4" t="s">
        <v>205</v>
      </c>
      <c r="C26" s="4" t="n">
        <v>5</v>
      </c>
      <c r="D26" s="4" t="s">
        <v>94</v>
      </c>
      <c r="E26" s="4" t="n">
        <f aca="false">SUMIF($A$14:A26,A26,$F$14:F26)-F26</f>
        <v>14</v>
      </c>
      <c r="F26" s="4" t="n">
        <f aca="false">IFERROR(INDEX(Fields!$E$5:$E$48,MATCH(D26,Fields!$A$5:$A$48,0)),0)</f>
        <v>4</v>
      </c>
      <c r="G26" s="4" t="n">
        <f aca="false">E26+F26-1</f>
        <v>17</v>
      </c>
      <c r="H26" s="4" t="str">
        <f aca="false">IFERROR(INDEX(Fields!$D$5:$D$48,MATCH(D26,Fields!$A$5:$A$48,0)),"MISSING")</f>
        <v>IEEE-754 float32</v>
      </c>
      <c r="I26" s="4" t="str">
        <f aca="false">IFERROR(INDEX(Fields!$F$5:$F$48,MATCH(D26,Fields!$A$5:$A$48,0)),"MISSING")</f>
        <v>Unitless normalized quaternion component.</v>
      </c>
      <c r="J26" s="4" t="str">
        <f aca="false">IFERROR(INDEX(Fields!$G$5:$G$48,MATCH(D26,Fields!$A$5:$A$48,0)),"MISSING")</f>
        <v>IRIS_FIELD_ORIENTATION_QUAT_Z_LENGTH</v>
      </c>
    </row>
    <row r="27" customFormat="false" ht="15" hidden="false" customHeight="false" outlineLevel="0" collapsed="false">
      <c r="A27" s="5" t="s">
        <v>204</v>
      </c>
      <c r="B27" s="5" t="s">
        <v>205</v>
      </c>
      <c r="C27" s="5" t="n">
        <v>6</v>
      </c>
      <c r="D27" s="5" t="s">
        <v>96</v>
      </c>
      <c r="E27" s="5" t="n">
        <f aca="false">SUMIF($A$14:A27,A27,$F$14:F27)-F27</f>
        <v>18</v>
      </c>
      <c r="F27" s="5" t="n">
        <f aca="false">IFERROR(INDEX(Fields!$E$5:$E$48,MATCH(D27,Fields!$A$5:$A$48,0)),0)</f>
        <v>4</v>
      </c>
      <c r="G27" s="5" t="n">
        <f aca="false">E27+F27-1</f>
        <v>21</v>
      </c>
      <c r="H27" s="5" t="str">
        <f aca="false">IFERROR(INDEX(Fields!$D$5:$D$48,MATCH(D27,Fields!$A$5:$A$48,0)),"MISSING")</f>
        <v>IEEE-754 float32</v>
      </c>
      <c r="I27" s="5" t="str">
        <f aca="false">IFERROR(INDEX(Fields!$F$5:$F$48,MATCH(D27,Fields!$A$5:$A$48,0)),"MISSING")</f>
        <v>Unitless normalized quaternion component.</v>
      </c>
      <c r="J27" s="5" t="str">
        <f aca="false">IFERROR(INDEX(Fields!$G$5:$G$48,MATCH(D27,Fields!$A$5:$A$48,0)),"MISSING")</f>
        <v>IRIS_FIELD_ORIENTATION_QUAT_W_LENGTH</v>
      </c>
    </row>
    <row r="28" customFormat="false" ht="15" hidden="false" customHeight="false" outlineLevel="0" collapsed="false">
      <c r="A28" s="4" t="s">
        <v>204</v>
      </c>
      <c r="B28" s="4" t="s">
        <v>205</v>
      </c>
      <c r="C28" s="4" t="n">
        <v>7</v>
      </c>
      <c r="D28" s="4" t="s">
        <v>98</v>
      </c>
      <c r="E28" s="4" t="n">
        <f aca="false">SUMIF($A$14:A28,A28,$F$14:F28)-F28</f>
        <v>22</v>
      </c>
      <c r="F28" s="4" t="n">
        <f aca="false">IFERROR(INDEX(Fields!$E$5:$E$48,MATCH(D28,Fields!$A$5:$A$48,0)),0)</f>
        <v>4</v>
      </c>
      <c r="G28" s="4" t="n">
        <f aca="false">E28+F28-1</f>
        <v>25</v>
      </c>
      <c r="H28" s="4" t="str">
        <f aca="false">IFERROR(INDEX(Fields!$D$5:$D$48,MATCH(D28,Fields!$A$5:$A$48,0)),"MISSING")</f>
        <v>IEEE-754 float32</v>
      </c>
      <c r="I28" s="4" t="str">
        <f aca="false">IFERROR(INDEX(Fields!$F$5:$F$48,MATCH(D28,Fields!$A$5:$A$48,0)),"MISSING")</f>
        <v>Meters in the estimator local frame.</v>
      </c>
      <c r="J28" s="4" t="str">
        <f aca="false">IFERROR(INDEX(Fields!$G$5:$G$48,MATCH(D28,Fields!$A$5:$A$48,0)),"MISSING")</f>
        <v>IRIS_FIELD_POSITION_X_LENGTH</v>
      </c>
    </row>
    <row r="29" customFormat="false" ht="15" hidden="false" customHeight="false" outlineLevel="0" collapsed="false">
      <c r="A29" s="5" t="s">
        <v>204</v>
      </c>
      <c r="B29" s="5" t="s">
        <v>205</v>
      </c>
      <c r="C29" s="5" t="n">
        <v>8</v>
      </c>
      <c r="D29" s="5" t="s">
        <v>101</v>
      </c>
      <c r="E29" s="5" t="n">
        <f aca="false">SUMIF($A$14:A29,A29,$F$14:F29)-F29</f>
        <v>26</v>
      </c>
      <c r="F29" s="5" t="n">
        <f aca="false">IFERROR(INDEX(Fields!$E$5:$E$48,MATCH(D29,Fields!$A$5:$A$48,0)),0)</f>
        <v>4</v>
      </c>
      <c r="G29" s="5" t="n">
        <f aca="false">E29+F29-1</f>
        <v>29</v>
      </c>
      <c r="H29" s="5" t="str">
        <f aca="false">IFERROR(INDEX(Fields!$D$5:$D$48,MATCH(D29,Fields!$A$5:$A$48,0)),"MISSING")</f>
        <v>IEEE-754 float32</v>
      </c>
      <c r="I29" s="5" t="str">
        <f aca="false">IFERROR(INDEX(Fields!$F$5:$F$48,MATCH(D29,Fields!$A$5:$A$48,0)),"MISSING")</f>
        <v>Meters in the estimator local frame.</v>
      </c>
      <c r="J29" s="5" t="str">
        <f aca="false">IFERROR(INDEX(Fields!$G$5:$G$48,MATCH(D29,Fields!$A$5:$A$48,0)),"MISSING")</f>
        <v>IRIS_FIELD_POSITION_Y_LENGTH</v>
      </c>
    </row>
    <row r="30" customFormat="false" ht="15" hidden="false" customHeight="false" outlineLevel="0" collapsed="false">
      <c r="A30" s="4" t="s">
        <v>204</v>
      </c>
      <c r="B30" s="4" t="s">
        <v>205</v>
      </c>
      <c r="C30" s="4" t="n">
        <v>9</v>
      </c>
      <c r="D30" s="4" t="s">
        <v>103</v>
      </c>
      <c r="E30" s="4" t="n">
        <f aca="false">SUMIF($A$14:A30,A30,$F$14:F30)-F30</f>
        <v>30</v>
      </c>
      <c r="F30" s="4" t="n">
        <f aca="false">IFERROR(INDEX(Fields!$E$5:$E$48,MATCH(D30,Fields!$A$5:$A$48,0)),0)</f>
        <v>4</v>
      </c>
      <c r="G30" s="4" t="n">
        <f aca="false">E30+F30-1</f>
        <v>33</v>
      </c>
      <c r="H30" s="4" t="str">
        <f aca="false">IFERROR(INDEX(Fields!$D$5:$D$48,MATCH(D30,Fields!$A$5:$A$48,0)),"MISSING")</f>
        <v>IEEE-754 float32</v>
      </c>
      <c r="I30" s="4" t="str">
        <f aca="false">IFERROR(INDEX(Fields!$F$5:$F$48,MATCH(D30,Fields!$A$5:$A$48,0)),"MISSING")</f>
        <v>Meters in the estimator local frame.</v>
      </c>
      <c r="J30" s="4" t="str">
        <f aca="false">IFERROR(INDEX(Fields!$G$5:$G$48,MATCH(D30,Fields!$A$5:$A$48,0)),"MISSING")</f>
        <v>IRIS_FIELD_POSITION_Z_LENGTH</v>
      </c>
    </row>
    <row r="31" customFormat="false" ht="15" hidden="false" customHeight="false" outlineLevel="0" collapsed="false">
      <c r="A31" s="5" t="s">
        <v>204</v>
      </c>
      <c r="B31" s="5" t="s">
        <v>205</v>
      </c>
      <c r="C31" s="5" t="n">
        <v>10</v>
      </c>
      <c r="D31" s="5" t="s">
        <v>105</v>
      </c>
      <c r="E31" s="5" t="n">
        <f aca="false">SUMIF($A$14:A31,A31,$F$14:F31)-F31</f>
        <v>34</v>
      </c>
      <c r="F31" s="5" t="n">
        <f aca="false">IFERROR(INDEX(Fields!$E$5:$E$48,MATCH(D31,Fields!$A$5:$A$48,0)),0)</f>
        <v>4</v>
      </c>
      <c r="G31" s="5" t="n">
        <f aca="false">E31+F31-1</f>
        <v>37</v>
      </c>
      <c r="H31" s="5" t="str">
        <f aca="false">IFERROR(INDEX(Fields!$D$5:$D$48,MATCH(D31,Fields!$A$5:$A$48,0)),"MISSING")</f>
        <v>IEEE-754 float32</v>
      </c>
      <c r="I31" s="5" t="str">
        <f aca="false">IFERROR(INDEX(Fields!$F$5:$F$48,MATCH(D31,Fields!$A$5:$A$48,0)),"MISSING")</f>
        <v>Meters per second in the estimator local frame.</v>
      </c>
      <c r="J31" s="5" t="str">
        <f aca="false">IFERROR(INDEX(Fields!$G$5:$G$48,MATCH(D31,Fields!$A$5:$A$48,0)),"MISSING")</f>
        <v>IRIS_FIELD_VELOCITY_X_LENGTH</v>
      </c>
    </row>
    <row r="32" customFormat="false" ht="15" hidden="false" customHeight="false" outlineLevel="0" collapsed="false">
      <c r="A32" s="4" t="s">
        <v>204</v>
      </c>
      <c r="B32" s="4" t="s">
        <v>205</v>
      </c>
      <c r="C32" s="4" t="n">
        <v>11</v>
      </c>
      <c r="D32" s="4" t="s">
        <v>108</v>
      </c>
      <c r="E32" s="4" t="n">
        <f aca="false">SUMIF($A$14:A32,A32,$F$14:F32)-F32</f>
        <v>38</v>
      </c>
      <c r="F32" s="4" t="n">
        <f aca="false">IFERROR(INDEX(Fields!$E$5:$E$48,MATCH(D32,Fields!$A$5:$A$48,0)),0)</f>
        <v>4</v>
      </c>
      <c r="G32" s="4" t="n">
        <f aca="false">E32+F32-1</f>
        <v>41</v>
      </c>
      <c r="H32" s="4" t="str">
        <f aca="false">IFERROR(INDEX(Fields!$D$5:$D$48,MATCH(D32,Fields!$A$5:$A$48,0)),"MISSING")</f>
        <v>IEEE-754 float32</v>
      </c>
      <c r="I32" s="4" t="str">
        <f aca="false">IFERROR(INDEX(Fields!$F$5:$F$48,MATCH(D32,Fields!$A$5:$A$48,0)),"MISSING")</f>
        <v>Meters per second in the estimator local frame.</v>
      </c>
      <c r="J32" s="4" t="str">
        <f aca="false">IFERROR(INDEX(Fields!$G$5:$G$48,MATCH(D32,Fields!$A$5:$A$48,0)),"MISSING")</f>
        <v>IRIS_FIELD_VELOCITY_Y_LENGTH</v>
      </c>
    </row>
    <row r="33" customFormat="false" ht="15" hidden="false" customHeight="false" outlineLevel="0" collapsed="false">
      <c r="A33" s="5" t="s">
        <v>204</v>
      </c>
      <c r="B33" s="5" t="s">
        <v>205</v>
      </c>
      <c r="C33" s="5" t="n">
        <v>12</v>
      </c>
      <c r="D33" s="5" t="s">
        <v>110</v>
      </c>
      <c r="E33" s="5" t="n">
        <f aca="false">SUMIF($A$14:A33,A33,$F$14:F33)-F33</f>
        <v>42</v>
      </c>
      <c r="F33" s="5" t="n">
        <f aca="false">IFERROR(INDEX(Fields!$E$5:$E$48,MATCH(D33,Fields!$A$5:$A$48,0)),0)</f>
        <v>4</v>
      </c>
      <c r="G33" s="5" t="n">
        <f aca="false">E33+F33-1</f>
        <v>45</v>
      </c>
      <c r="H33" s="5" t="str">
        <f aca="false">IFERROR(INDEX(Fields!$D$5:$D$48,MATCH(D33,Fields!$A$5:$A$48,0)),"MISSING")</f>
        <v>IEEE-754 float32</v>
      </c>
      <c r="I33" s="5" t="str">
        <f aca="false">IFERROR(INDEX(Fields!$F$5:$F$48,MATCH(D33,Fields!$A$5:$A$48,0)),"MISSING")</f>
        <v>Meters per second in the estimator local frame.</v>
      </c>
      <c r="J33" s="5" t="str">
        <f aca="false">IFERROR(INDEX(Fields!$G$5:$G$48,MATCH(D33,Fields!$A$5:$A$48,0)),"MISSING")</f>
        <v>IRIS_FIELD_VELOCITY_Z_LENGTH</v>
      </c>
    </row>
    <row r="34" customFormat="false" ht="15" hidden="false" customHeight="false" outlineLevel="0" collapsed="false">
      <c r="A34" s="4" t="s">
        <v>204</v>
      </c>
      <c r="B34" s="4" t="s">
        <v>205</v>
      </c>
      <c r="C34" s="4" t="n">
        <v>13</v>
      </c>
      <c r="D34" s="4" t="s">
        <v>151</v>
      </c>
      <c r="E34" s="4" t="n">
        <f aca="false">SUMIF($A$14:A34,A34,$F$14:F34)-F34</f>
        <v>46</v>
      </c>
      <c r="F34" s="4" t="n">
        <f aca="false">IFERROR(INDEX(Fields!$E$5:$E$48,MATCH(D34,Fields!$A$5:$A$48,0)),0)</f>
        <v>3</v>
      </c>
      <c r="G34" s="4" t="n">
        <f aca="false">E34+F34-1</f>
        <v>48</v>
      </c>
      <c r="H34" s="4" t="str">
        <f aca="false">IFERROR(INDEX(Fields!$D$5:$D$48,MATCH(D34,Fields!$A$5:$A$48,0)),"MISSING")</f>
        <v>signed int24</v>
      </c>
      <c r="I34" s="4" t="str">
        <f aca="false">IFERROR(INDEX(Fields!$F$5:$F$48,MATCH(D34,Fields!$A$5:$A$48,0)),"MISSING")</f>
        <v>0.0001 degree/count; degrees = raw / 10,000.</v>
      </c>
      <c r="J34" s="4" t="str">
        <f aca="false">IFERROR(INDEX(Fields!$G$5:$G$48,MATCH(D34,Fields!$A$5:$A$48,0)),"MISSING")</f>
        <v>IRIS_FIELD_LATITUDE_LENGTH</v>
      </c>
    </row>
    <row r="35" customFormat="false" ht="15" hidden="false" customHeight="false" outlineLevel="0" collapsed="false">
      <c r="A35" s="5" t="s">
        <v>204</v>
      </c>
      <c r="B35" s="5" t="s">
        <v>205</v>
      </c>
      <c r="C35" s="5" t="n">
        <v>14</v>
      </c>
      <c r="D35" s="5" t="s">
        <v>154</v>
      </c>
      <c r="E35" s="5" t="n">
        <f aca="false">SUMIF($A$14:A35,A35,$F$14:F35)-F35</f>
        <v>49</v>
      </c>
      <c r="F35" s="5" t="n">
        <f aca="false">IFERROR(INDEX(Fields!$E$5:$E$48,MATCH(D35,Fields!$A$5:$A$48,0)),0)</f>
        <v>3</v>
      </c>
      <c r="G35" s="5" t="n">
        <f aca="false">E35+F35-1</f>
        <v>51</v>
      </c>
      <c r="H35" s="5" t="str">
        <f aca="false">IFERROR(INDEX(Fields!$D$5:$D$48,MATCH(D35,Fields!$A$5:$A$48,0)),"MISSING")</f>
        <v>signed int24</v>
      </c>
      <c r="I35" s="5" t="str">
        <f aca="false">IFERROR(INDEX(Fields!$F$5:$F$48,MATCH(D35,Fields!$A$5:$A$48,0)),"MISSING")</f>
        <v>0.0001 degree/count; degrees = raw / 10,000.</v>
      </c>
      <c r="J35" s="5" t="str">
        <f aca="false">IFERROR(INDEX(Fields!$G$5:$G$48,MATCH(D35,Fields!$A$5:$A$48,0)),"MISSING")</f>
        <v>IRIS_FIELD_LONGITUDE_LENGTH</v>
      </c>
    </row>
    <row r="36" customFormat="false" ht="15" hidden="false" customHeight="false" outlineLevel="0" collapsed="false">
      <c r="A36" s="4" t="s">
        <v>204</v>
      </c>
      <c r="B36" s="4" t="s">
        <v>205</v>
      </c>
      <c r="C36" s="4" t="n">
        <v>15</v>
      </c>
      <c r="D36" s="4" t="s">
        <v>159</v>
      </c>
      <c r="E36" s="4" t="n">
        <f aca="false">SUMIF($A$14:A36,A36,$F$14:F36)-F36</f>
        <v>52</v>
      </c>
      <c r="F36" s="4" t="n">
        <f aca="false">IFERROR(INDEX(Fields!$E$5:$E$48,MATCH(D36,Fields!$A$5:$A$48,0)),0)</f>
        <v>4</v>
      </c>
      <c r="G36" s="4" t="n">
        <f aca="false">E36+F36-1</f>
        <v>55</v>
      </c>
      <c r="H36" s="4" t="str">
        <f aca="false">IFERROR(INDEX(Fields!$D$5:$D$48,MATCH(D36,Fields!$A$5:$A$48,0)),"MISSING")</f>
        <v>IEEE-754 float32</v>
      </c>
      <c r="I36" s="4" t="str">
        <f aca="false">IFERROR(INDEX(Fields!$F$5:$F$48,MATCH(D36,Fields!$A$5:$A$48,0)),"MISSING")</f>
        <v>Meters above mean sea level.</v>
      </c>
      <c r="J36" s="4" t="str">
        <f aca="false">IFERROR(INDEX(Fields!$G$5:$G$48,MATCH(D36,Fields!$A$5:$A$48,0)),"MISSING")</f>
        <v>IRIS_FIELD_GPS_ALTITUDE_LENGTH</v>
      </c>
    </row>
    <row r="37" customFormat="false" ht="15" hidden="false" customHeight="false" outlineLevel="0" collapsed="false">
      <c r="A37" s="5" t="s">
        <v>204</v>
      </c>
      <c r="B37" s="5" t="s">
        <v>205</v>
      </c>
      <c r="C37" s="5" t="n">
        <v>16</v>
      </c>
      <c r="D37" s="5" t="s">
        <v>147</v>
      </c>
      <c r="E37" s="5" t="n">
        <f aca="false">SUMIF($A$14:A37,A37,$F$14:F37)-F37</f>
        <v>56</v>
      </c>
      <c r="F37" s="5" t="n">
        <f aca="false">IFERROR(INDEX(Fields!$E$5:$E$48,MATCH(D37,Fields!$A$5:$A$48,0)),0)</f>
        <v>4</v>
      </c>
      <c r="G37" s="5" t="n">
        <f aca="false">E37+F37-1</f>
        <v>59</v>
      </c>
      <c r="H37" s="5" t="str">
        <f aca="false">IFERROR(INDEX(Fields!$D$5:$D$48,MATCH(D37,Fields!$A$5:$A$48,0)),"MISSING")</f>
        <v>IEEE-754 float32</v>
      </c>
      <c r="I37" s="5" t="str">
        <f aca="false">IFERROR(INDEX(Fields!$F$5:$F$48,MATCH(D37,Fields!$A$5:$A$48,0)),"MISSING")</f>
        <v>Meters above the configured pressure reference.</v>
      </c>
      <c r="J37" s="5" t="str">
        <f aca="false">IFERROR(INDEX(Fields!$G$5:$G$48,MATCH(D37,Fields!$A$5:$A$48,0)),"MISSING")</f>
        <v>IRIS_FIELD_MS5607_ALTITUDE_LENGTH</v>
      </c>
    </row>
    <row r="38" customFormat="false" ht="15" hidden="false" customHeight="false" outlineLevel="0" collapsed="false">
      <c r="A38" s="4" t="s">
        <v>204</v>
      </c>
      <c r="B38" s="4" t="s">
        <v>205</v>
      </c>
      <c r="C38" s="4" t="n">
        <v>17</v>
      </c>
      <c r="D38" s="4" t="s">
        <v>61</v>
      </c>
      <c r="E38" s="4" t="n">
        <f aca="false">SUMIF($A$14:A38,A38,$F$14:F38)-F38</f>
        <v>60</v>
      </c>
      <c r="F38" s="4" t="n">
        <f aca="false">IFERROR(INDEX(Fields!$E$5:$E$48,MATCH(D38,Fields!$A$5:$A$48,0)),0)</f>
        <v>2</v>
      </c>
      <c r="G38" s="4" t="n">
        <f aca="false">E38+F38-1</f>
        <v>61</v>
      </c>
      <c r="H38" s="4" t="str">
        <f aca="false">IFERROR(INDEX(Fields!$D$5:$D$48,MATCH(D38,Fields!$A$5:$A$48,0)),"MISSING")</f>
        <v>uint16</v>
      </c>
      <c r="I38" s="4" t="str">
        <f aca="false">IFERROR(INDEX(Fields!$F$5:$F$48,MATCH(D38,Fields!$A$5:$A$48,0)),"MISSING")</f>
        <v>1 mV/count; battery voltage in millivolts.</v>
      </c>
      <c r="J38" s="4" t="str">
        <f aca="false">IFERROR(INDEX(Fields!$G$5:$G$48,MATCH(D38,Fields!$A$5:$A$48,0)),"MISSING")</f>
        <v>IRIS_FIELD_WITNESS_BATTERY_VOLTAGE_LENGTH</v>
      </c>
    </row>
    <row r="39" customFormat="false" ht="15" hidden="false" customHeight="false" outlineLevel="0" collapsed="false">
      <c r="A39" s="5" t="s">
        <v>208</v>
      </c>
      <c r="B39" s="5" t="s">
        <v>209</v>
      </c>
      <c r="C39" s="5" t="n">
        <v>1</v>
      </c>
      <c r="D39" s="5" t="s">
        <v>44</v>
      </c>
      <c r="E39" s="5" t="n">
        <f aca="false">SUMIF($A$14:A39,A39,$F$14:F39)-F39</f>
        <v>0</v>
      </c>
      <c r="F39" s="5" t="n">
        <f aca="false">IFERROR(INDEX(Fields!$E$5:$E$48,MATCH(D39,Fields!$A$5:$A$48,0)),0)</f>
        <v>2</v>
      </c>
      <c r="G39" s="5" t="n">
        <f aca="false">E39+F39-1</f>
        <v>1</v>
      </c>
      <c r="H39" s="5" t="str">
        <f aca="false">IFERROR(INDEX(Fields!$D$5:$D$48,MATCH(D39,Fields!$A$5:$A$48,0)),"MISSING")</f>
        <v>bitfield[16]</v>
      </c>
      <c r="I39" s="5" t="str">
        <f aca="false">IFERROR(INDEX(Fields!$F$5:$F$48,MATCH(D39,Fields!$A$5:$A$48,0)),"MISSING")</f>
        <v>Byte 0 contains status flags; byte 1 is reserved. No numeric scale.</v>
      </c>
      <c r="J39" s="5" t="str">
        <f aca="false">IFERROR(INDEX(Fields!$G$5:$G$48,MATCH(D39,Fields!$A$5:$A$48,0)),"MISSING")</f>
        <v>IRIS_FIELD_WITNESS_STATUS_LENGTH</v>
      </c>
    </row>
    <row r="40" customFormat="false" ht="15" hidden="false" customHeight="false" outlineLevel="0" collapsed="false">
      <c r="A40" s="4" t="s">
        <v>208</v>
      </c>
      <c r="B40" s="4" t="s">
        <v>209</v>
      </c>
      <c r="C40" s="4" t="n">
        <v>2</v>
      </c>
      <c r="D40" s="4" t="s">
        <v>51</v>
      </c>
      <c r="E40" s="4" t="n">
        <f aca="false">SUMIF($A$14:A40,A40,$F$14:F40)-F40</f>
        <v>2</v>
      </c>
      <c r="F40" s="4" t="n">
        <f aca="false">IFERROR(INDEX(Fields!$E$5:$E$48,MATCH(D40,Fields!$A$5:$A$48,0)),0)</f>
        <v>4</v>
      </c>
      <c r="G40" s="4" t="n">
        <f aca="false">E40+F40-1</f>
        <v>5</v>
      </c>
      <c r="H40" s="4" t="str">
        <f aca="false">IFERROR(INDEX(Fields!$D$5:$D$48,MATCH(D40,Fields!$A$5:$A$48,0)),"MISSING")</f>
        <v>uint32</v>
      </c>
      <c r="I40" s="4" t="str">
        <f aca="false">IFERROR(INDEX(Fields!$F$5:$F$48,MATCH(D40,Fields!$A$5:$A$48,0)),"MISSING")</f>
        <v>1 ms/count; elapsed time since boot.</v>
      </c>
      <c r="J40" s="4" t="str">
        <f aca="false">IFERROR(INDEX(Fields!$G$5:$G$48,MATCH(D40,Fields!$A$5:$A$48,0)),"MISSING")</f>
        <v>IRIS_FIELD_WITNESS_UPTIME_LENGTH</v>
      </c>
    </row>
    <row r="41" customFormat="false" ht="15" hidden="false" customHeight="false" outlineLevel="0" collapsed="false">
      <c r="A41" s="5" t="s">
        <v>208</v>
      </c>
      <c r="B41" s="5" t="s">
        <v>209</v>
      </c>
      <c r="C41" s="5" t="n">
        <v>3</v>
      </c>
      <c r="D41" s="5" t="s">
        <v>70</v>
      </c>
      <c r="E41" s="5" t="n">
        <f aca="false">SUMIF($A$14:A41,A41,$F$14:F41)-F41</f>
        <v>6</v>
      </c>
      <c r="F41" s="5" t="n">
        <f aca="false">IFERROR(INDEX(Fields!$E$5:$E$48,MATCH(D41,Fields!$A$5:$A$48,0)),0)</f>
        <v>2</v>
      </c>
      <c r="G41" s="5" t="n">
        <f aca="false">E41+F41-1</f>
        <v>7</v>
      </c>
      <c r="H41" s="5" t="str">
        <f aca="false">IFERROR(INDEX(Fields!$D$5:$D$48,MATCH(D41,Fields!$A$5:$A$48,0)),"MISSING")</f>
        <v>bitfield[16]</v>
      </c>
      <c r="I41" s="5" t="str">
        <f aca="false">IFERROR(INDEX(Fields!$F$5:$F$48,MATCH(D41,Fields!$A$5:$A$48,0)),"MISSING")</f>
        <v>16 independent flags; no numeric scale.</v>
      </c>
      <c r="J41" s="5" t="str">
        <f aca="false">IFERROR(INDEX(Fields!$G$5:$G$48,MATCH(D41,Fields!$A$5:$A$48,0)),"MISSING")</f>
        <v>IRIS_FIELD_IRIS_STATUS_LENGTH</v>
      </c>
    </row>
    <row r="42" customFormat="false" ht="15" hidden="false" customHeight="false" outlineLevel="0" collapsed="false">
      <c r="A42" s="4" t="s">
        <v>208</v>
      </c>
      <c r="B42" s="4" t="s">
        <v>209</v>
      </c>
      <c r="C42" s="4" t="n">
        <v>4</v>
      </c>
      <c r="D42" s="4" t="s">
        <v>66</v>
      </c>
      <c r="E42" s="4" t="n">
        <f aca="false">SUMIF($A$14:A42,A42,$F$14:F42)-F42</f>
        <v>8</v>
      </c>
      <c r="F42" s="4" t="n">
        <f aca="false">IFERROR(INDEX(Fields!$E$5:$E$48,MATCH(D42,Fields!$A$5:$A$48,0)),0)</f>
        <v>4</v>
      </c>
      <c r="G42" s="4" t="n">
        <f aca="false">E42+F42-1</f>
        <v>11</v>
      </c>
      <c r="H42" s="4" t="str">
        <f aca="false">IFERROR(INDEX(Fields!$D$5:$D$48,MATCH(D42,Fields!$A$5:$A$48,0)),"MISSING")</f>
        <v>uint32</v>
      </c>
      <c r="I42" s="4" t="str">
        <f aca="false">IFERROR(INDEX(Fields!$F$5:$F$48,MATCH(D42,Fields!$A$5:$A$48,0)),"MISSING")</f>
        <v>1 ms/count; elapsed time since boot.</v>
      </c>
      <c r="J42" s="4" t="str">
        <f aca="false">IFERROR(INDEX(Fields!$G$5:$G$48,MATCH(D42,Fields!$A$5:$A$48,0)),"MISSING")</f>
        <v>IRIS_FIELD_IRIS_UPTIME_LENGTH</v>
      </c>
    </row>
    <row r="43" customFormat="false" ht="15" hidden="false" customHeight="false" outlineLevel="0" collapsed="false">
      <c r="A43" s="5" t="s">
        <v>208</v>
      </c>
      <c r="B43" s="5" t="s">
        <v>209</v>
      </c>
      <c r="C43" s="5" t="n">
        <v>5</v>
      </c>
      <c r="D43" s="5" t="s">
        <v>162</v>
      </c>
      <c r="E43" s="5" t="n">
        <f aca="false">SUMIF($A$14:A43,A43,$F$14:F43)-F43</f>
        <v>12</v>
      </c>
      <c r="F43" s="5" t="n">
        <f aca="false">IFERROR(INDEX(Fields!$E$5:$E$48,MATCH(D43,Fields!$A$5:$A$48,0)),0)</f>
        <v>1</v>
      </c>
      <c r="G43" s="5" t="n">
        <f aca="false">E43+F43-1</f>
        <v>12</v>
      </c>
      <c r="H43" s="5" t="str">
        <f aca="false">IFERROR(INDEX(Fields!$D$5:$D$48,MATCH(D43,Fields!$A$5:$A$48,0)),"MISSING")</f>
        <v>uint8</v>
      </c>
      <c r="I43" s="5" t="str">
        <f aca="false">IFERROR(INDEX(Fields!$F$5:$F$48,MATCH(D43,Fields!$A$5:$A$48,0)),"MISSING")</f>
        <v>0.1 A/count; current in amperes = raw x 0.1.</v>
      </c>
      <c r="J43" s="5" t="str">
        <f aca="false">IFERROR(INDEX(Fields!$G$5:$G$48,MATCH(D43,Fields!$A$5:$A$48,0)),"MISSING")</f>
        <v>IRIS_FIELD_CH1_CURRENT_LENGTH</v>
      </c>
    </row>
    <row r="44" customFormat="false" ht="15" hidden="false" customHeight="false" outlineLevel="0" collapsed="false">
      <c r="A44" s="4" t="s">
        <v>208</v>
      </c>
      <c r="B44" s="4" t="s">
        <v>209</v>
      </c>
      <c r="C44" s="4" t="n">
        <v>6</v>
      </c>
      <c r="D44" s="4" t="s">
        <v>168</v>
      </c>
      <c r="E44" s="4" t="n">
        <f aca="false">SUMIF($A$14:A44,A44,$F$14:F44)-F44</f>
        <v>13</v>
      </c>
      <c r="F44" s="4" t="n">
        <f aca="false">IFERROR(INDEX(Fields!$E$5:$E$48,MATCH(D44,Fields!$A$5:$A$48,0)),0)</f>
        <v>1</v>
      </c>
      <c r="G44" s="4" t="n">
        <f aca="false">E44+F44-1</f>
        <v>13</v>
      </c>
      <c r="H44" s="4" t="str">
        <f aca="false">IFERROR(INDEX(Fields!$D$5:$D$48,MATCH(D44,Fields!$A$5:$A$48,0)),"MISSING")</f>
        <v>uint8</v>
      </c>
      <c r="I44" s="4" t="str">
        <f aca="false">IFERROR(INDEX(Fields!$F$5:$F$48,MATCH(D44,Fields!$A$5:$A$48,0)),"MISSING")</f>
        <v>0.1 A/count; current in amperes = raw x 0.1.</v>
      </c>
      <c r="J44" s="4" t="str">
        <f aca="false">IFERROR(INDEX(Fields!$G$5:$G$48,MATCH(D44,Fields!$A$5:$A$48,0)),"MISSING")</f>
        <v>IRIS_FIELD_CH2_CURRENT_LENGTH</v>
      </c>
    </row>
    <row r="45" customFormat="false" ht="15" hidden="false" customHeight="false" outlineLevel="0" collapsed="false">
      <c r="A45" s="5" t="s">
        <v>208</v>
      </c>
      <c r="B45" s="5" t="s">
        <v>209</v>
      </c>
      <c r="C45" s="5" t="n">
        <v>7</v>
      </c>
      <c r="D45" s="5" t="s">
        <v>170</v>
      </c>
      <c r="E45" s="5" t="n">
        <f aca="false">SUMIF($A$14:A45,A45,$F$14:F45)-F45</f>
        <v>14</v>
      </c>
      <c r="F45" s="5" t="n">
        <f aca="false">IFERROR(INDEX(Fields!$E$5:$E$48,MATCH(D45,Fields!$A$5:$A$48,0)),0)</f>
        <v>1</v>
      </c>
      <c r="G45" s="5" t="n">
        <f aca="false">E45+F45-1</f>
        <v>14</v>
      </c>
      <c r="H45" s="5" t="str">
        <f aca="false">IFERROR(INDEX(Fields!$D$5:$D$48,MATCH(D45,Fields!$A$5:$A$48,0)),"MISSING")</f>
        <v>uint8</v>
      </c>
      <c r="I45" s="5" t="str">
        <f aca="false">IFERROR(INDEX(Fields!$F$5:$F$48,MATCH(D45,Fields!$A$5:$A$48,0)),"MISSING")</f>
        <v>0.1 A/count; current in amperes = raw x 0.1.</v>
      </c>
      <c r="J45" s="5" t="str">
        <f aca="false">IFERROR(INDEX(Fields!$G$5:$G$48,MATCH(D45,Fields!$A$5:$A$48,0)),"MISSING")</f>
        <v>IRIS_FIELD_CH3_CURRENT_LENGTH</v>
      </c>
    </row>
    <row r="46" customFormat="false" ht="15" hidden="false" customHeight="false" outlineLevel="0" collapsed="false">
      <c r="A46" s="4" t="s">
        <v>208</v>
      </c>
      <c r="B46" s="4" t="s">
        <v>209</v>
      </c>
      <c r="C46" s="4" t="n">
        <v>8</v>
      </c>
      <c r="D46" s="4" t="s">
        <v>75</v>
      </c>
      <c r="E46" s="4" t="n">
        <f aca="false">SUMIF($A$14:A46,A46,$F$14:F46)-F46</f>
        <v>15</v>
      </c>
      <c r="F46" s="4" t="n">
        <f aca="false">IFERROR(INDEX(Fields!$E$5:$E$48,MATCH(D46,Fields!$A$5:$A$48,0)),0)</f>
        <v>2</v>
      </c>
      <c r="G46" s="4" t="n">
        <f aca="false">E46+F46-1</f>
        <v>16</v>
      </c>
      <c r="H46" s="4" t="str">
        <f aca="false">IFERROR(INDEX(Fields!$D$5:$D$48,MATCH(D46,Fields!$A$5:$A$48,0)),"MISSING")</f>
        <v>uint16</v>
      </c>
      <c r="I46" s="4" t="str">
        <f aca="false">IFERROR(INDEX(Fields!$F$5:$F$48,MATCH(D46,Fields!$A$5:$A$48,0)),"MISSING")</f>
        <v>1 mV/count; battery voltage in millivolts.</v>
      </c>
      <c r="J46" s="4" t="str">
        <f aca="false">IFERROR(INDEX(Fields!$G$5:$G$48,MATCH(D46,Fields!$A$5:$A$48,0)),"MISSING")</f>
        <v>IRIS_FIELD_IRIS_BATTERY_VOLTAGE_LENGTH</v>
      </c>
    </row>
    <row r="47" customFormat="false" ht="15" hidden="false" customHeight="false" outlineLevel="0" collapsed="false">
      <c r="A47" s="5" t="s">
        <v>213</v>
      </c>
      <c r="B47" s="5" t="s">
        <v>172</v>
      </c>
      <c r="C47" s="5" t="n">
        <v>1</v>
      </c>
      <c r="D47" s="5" t="s">
        <v>178</v>
      </c>
      <c r="E47" s="5" t="n">
        <f aca="false">SUMIF($A$14:A47,A47,$F$14:F47)-F47</f>
        <v>0</v>
      </c>
      <c r="F47" s="5" t="n">
        <f aca="false">IFERROR(INDEX(Fields!$E$5:$E$48,MATCH(D47,Fields!$A$5:$A$48,0)),0)</f>
        <v>2</v>
      </c>
      <c r="G47" s="5" t="n">
        <f aca="false">E47+F47-1</f>
        <v>1</v>
      </c>
      <c r="H47" s="5" t="str">
        <f aca="false">IFERROR(INDEX(Fields!$D$5:$D$48,MATCH(D47,Fields!$A$5:$A$48,0)),"MISSING")</f>
        <v>bitfield[16]</v>
      </c>
      <c r="I47" s="5" t="str">
        <f aca="false">IFERROR(INDEX(Fields!$F$5:$F$48,MATCH(D47,Fields!$A$5:$A$48,0)),"MISSING")</f>
        <v>Byte 0 contains status flags; byte 1 is reserved.</v>
      </c>
      <c r="J47" s="5" t="str">
        <f aca="false">IFERROR(INDEX(Fields!$G$5:$G$48,MATCH(D47,Fields!$A$5:$A$48,0)),"MISSING")</f>
        <v>IRIS_PACKET_STATUS_LENGTH</v>
      </c>
    </row>
    <row r="48" customFormat="false" ht="15" hidden="false" customHeight="false" outlineLevel="0" collapsed="false">
      <c r="A48" s="4" t="s">
        <v>213</v>
      </c>
      <c r="B48" s="4" t="s">
        <v>172</v>
      </c>
      <c r="C48" s="4" t="n">
        <v>2</v>
      </c>
      <c r="D48" s="4" t="s">
        <v>184</v>
      </c>
      <c r="E48" s="4" t="n">
        <f aca="false">SUMIF($A$14:A48,A48,$F$14:F48)-F48</f>
        <v>2</v>
      </c>
      <c r="F48" s="4" t="n">
        <f aca="false">IFERROR(INDEX(Fields!$E$5:$E$48,MATCH(D48,Fields!$A$5:$A$48,0)),0)</f>
        <v>4</v>
      </c>
      <c r="G48" s="4" t="n">
        <f aca="false">E48+F48-1</f>
        <v>5</v>
      </c>
      <c r="H48" s="4" t="str">
        <f aca="false">IFERROR(INDEX(Fields!$D$5:$D$48,MATCH(D48,Fields!$A$5:$A$48,0)),"MISSING")</f>
        <v>uint32</v>
      </c>
      <c r="I48" s="4" t="str">
        <f aca="false">IFERROR(INDEX(Fields!$F$5:$F$48,MATCH(D48,Fields!$A$5:$A$48,0)),"MISSING")</f>
        <v>1 ms/count; elapsed time since ground-station boot.</v>
      </c>
      <c r="J48" s="4" t="str">
        <f aca="false">IFERROR(INDEX(Fields!$G$5:$G$48,MATCH(D48,Fields!$A$5:$A$48,0)),"MISSING")</f>
        <v>IRIS_PACKET_UPTIME_LENGTH</v>
      </c>
    </row>
    <row r="49" customFormat="false" ht="15" hidden="false" customHeight="false" outlineLevel="0" collapsed="false">
      <c r="A49" s="5" t="s">
        <v>213</v>
      </c>
      <c r="B49" s="5" t="s">
        <v>172</v>
      </c>
      <c r="C49" s="5" t="n">
        <v>3</v>
      </c>
      <c r="D49" s="5" t="s">
        <v>172</v>
      </c>
      <c r="E49" s="5" t="n">
        <f aca="false">SUMIF($A$14:A49,A49,$F$14:F49)-F49</f>
        <v>6</v>
      </c>
      <c r="F49" s="5" t="n">
        <f aca="false">IFERROR(INDEX(Fields!$E$5:$E$48,MATCH(D49,Fields!$A$5:$A$48,0)),0)</f>
        <v>2</v>
      </c>
      <c r="G49" s="5" t="n">
        <f aca="false">E49+F49-1</f>
        <v>7</v>
      </c>
      <c r="H49" s="5" t="str">
        <f aca="false">IFERROR(INDEX(Fields!$D$5:$D$48,MATCH(D49,Fields!$A$5:$A$48,0)),"MISSING")</f>
        <v>uint16 enum</v>
      </c>
      <c r="I49" s="5" t="str">
        <f aca="false">IFERROR(INDEX(Fields!$F$5:$F$48,MATCH(D49,Fields!$A$5:$A$48,0)),"MISSING")</f>
        <v>No numeric scale; command/opcode value.</v>
      </c>
      <c r="J49" s="5" t="str">
        <f aca="false">IFERROR(INDEX(Fields!$G$5:$G$48,MATCH(D49,Fields!$A$5:$A$48,0)),"MISSING")</f>
        <v>IRIS_FIELD_COMMAND_LENGTH</v>
      </c>
    </row>
    <row r="50" customFormat="false" ht="15" hidden="false" customHeight="false" outlineLevel="0" collapsed="false">
      <c r="A50" s="4" t="s">
        <v>217</v>
      </c>
      <c r="B50" s="4" t="s">
        <v>218</v>
      </c>
      <c r="C50" s="4" t="n">
        <v>1</v>
      </c>
      <c r="D50" s="4" t="s">
        <v>178</v>
      </c>
      <c r="E50" s="4" t="n">
        <f aca="false">SUMIF($A$14:A50,A50,$F$14:F50)-F50</f>
        <v>0</v>
      </c>
      <c r="F50" s="4" t="n">
        <f aca="false">IFERROR(INDEX(Fields!$E$5:$E$48,MATCH(D50,Fields!$A$5:$A$48,0)),0)</f>
        <v>2</v>
      </c>
      <c r="G50" s="4" t="n">
        <f aca="false">E50+F50-1</f>
        <v>1</v>
      </c>
      <c r="H50" s="4" t="str">
        <f aca="false">IFERROR(INDEX(Fields!$D$5:$D$48,MATCH(D50,Fields!$A$5:$A$48,0)),"MISSING")</f>
        <v>bitfield[16]</v>
      </c>
      <c r="I50" s="4" t="str">
        <f aca="false">IFERROR(INDEX(Fields!$F$5:$F$48,MATCH(D50,Fields!$A$5:$A$48,0)),"MISSING")</f>
        <v>Byte 0 contains status flags; byte 1 is reserved.</v>
      </c>
      <c r="J50" s="4" t="str">
        <f aca="false">IFERROR(INDEX(Fields!$G$5:$G$48,MATCH(D50,Fields!$A$5:$A$48,0)),"MISSING")</f>
        <v>IRIS_PACKET_STATUS_LENGTH</v>
      </c>
    </row>
    <row r="51" customFormat="false" ht="15" hidden="false" customHeight="false" outlineLevel="0" collapsed="false">
      <c r="A51" s="5" t="s">
        <v>217</v>
      </c>
      <c r="B51" s="5" t="s">
        <v>218</v>
      </c>
      <c r="C51" s="5" t="n">
        <v>2</v>
      </c>
      <c r="D51" s="5" t="s">
        <v>184</v>
      </c>
      <c r="E51" s="5" t="n">
        <f aca="false">SUMIF($A$14:A51,A51,$F$14:F51)-F51</f>
        <v>2</v>
      </c>
      <c r="F51" s="5" t="n">
        <f aca="false">IFERROR(INDEX(Fields!$E$5:$E$48,MATCH(D51,Fields!$A$5:$A$48,0)),0)</f>
        <v>4</v>
      </c>
      <c r="G51" s="5" t="n">
        <f aca="false">E51+F51-1</f>
        <v>5</v>
      </c>
      <c r="H51" s="5" t="str">
        <f aca="false">IFERROR(INDEX(Fields!$D$5:$D$48,MATCH(D51,Fields!$A$5:$A$48,0)),"MISSING")</f>
        <v>uint32</v>
      </c>
      <c r="I51" s="5" t="str">
        <f aca="false">IFERROR(INDEX(Fields!$F$5:$F$48,MATCH(D51,Fields!$A$5:$A$48,0)),"MISSING")</f>
        <v>1 ms/count; elapsed time since ground-station boot.</v>
      </c>
      <c r="J51" s="5" t="str">
        <f aca="false">IFERROR(INDEX(Fields!$G$5:$G$48,MATCH(D51,Fields!$A$5:$A$48,0)),"MISSING")</f>
        <v>IRIS_PACKET_UPTIME_LENGTH</v>
      </c>
    </row>
  </sheetData>
  <autoFilter ref="A13:J51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2026-09-18T18:52:05Z</dcterms:created>
  <dc:creator>openpyxl</dc:creator>
  <dc:description/>
  <dc:language>en-US</dc:language>
  <cp:lastModifiedBy/>
  <dcterms:modified xsi:type="dcterms:W3CDTF">2026-09-18T18:52:05Z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