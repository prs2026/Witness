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jfso\Documents\GitHub\witness\Software\Witness\softwarev1\"/>
    </mc:Choice>
  </mc:AlternateContent>
  <xr:revisionPtr revIDLastSave="0" documentId="13_ncr:1_{42E5E757-4ADE-4520-B43C-365C540A216E}" xr6:coauthVersionLast="47" xr6:coauthVersionMax="47" xr10:uidLastSave="{00000000-0000-0000-0000-000000000000}"/>
  <bookViews>
    <workbookView xWindow="-110" yWindow="-110" windowWidth="29020" windowHeight="18700" tabRatio="500" activeTab="2" xr2:uid="{00000000-000D-0000-FFFF-FFFF00000000}"/>
  </bookViews>
  <sheets>
    <sheet name="Overview" sheetId="1" r:id="rId1"/>
    <sheet name="Fields" sheetId="2" r:id="rId2"/>
    <sheet name="Packet Builder" sheetId="3" r:id="rId3"/>
    <sheet name="Packets" sheetId="4" r:id="rId4"/>
  </sheets>
  <definedNames>
    <definedName name="_xlnm._FilterDatabase" localSheetId="1" hidden="1">Fields!$A$4:$I$48</definedName>
    <definedName name="_xlnm._FilterDatabase" localSheetId="3" hidden="1">Packets!$A$4:$K$404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" i="1" l="1"/>
  <c r="I11" i="3" s="1"/>
  <c r="P34" i="3"/>
  <c r="M34" i="3"/>
  <c r="L34" i="3"/>
  <c r="K34" i="3"/>
  <c r="J34" i="3"/>
  <c r="I34" i="3"/>
  <c r="H34" i="3"/>
  <c r="G34" i="3"/>
  <c r="F34" i="3"/>
  <c r="P33" i="3"/>
  <c r="M33" i="3"/>
  <c r="L33" i="3"/>
  <c r="K33" i="3"/>
  <c r="J33" i="3"/>
  <c r="I33" i="3"/>
  <c r="H33" i="3"/>
  <c r="G33" i="3"/>
  <c r="F33" i="3"/>
  <c r="P32" i="3"/>
  <c r="M32" i="3"/>
  <c r="L32" i="3"/>
  <c r="K32" i="3"/>
  <c r="J32" i="3"/>
  <c r="I32" i="3"/>
  <c r="H32" i="3"/>
  <c r="G32" i="3"/>
  <c r="F32" i="3"/>
  <c r="P31" i="3"/>
  <c r="M31" i="3"/>
  <c r="L31" i="3"/>
  <c r="K31" i="3"/>
  <c r="J31" i="3"/>
  <c r="I31" i="3"/>
  <c r="H31" i="3"/>
  <c r="G31" i="3"/>
  <c r="F31" i="3"/>
  <c r="P30" i="3"/>
  <c r="M30" i="3"/>
  <c r="L30" i="3"/>
  <c r="K30" i="3"/>
  <c r="J30" i="3"/>
  <c r="I30" i="3"/>
  <c r="H30" i="3"/>
  <c r="G30" i="3"/>
  <c r="F30" i="3"/>
  <c r="P29" i="3"/>
  <c r="M29" i="3"/>
  <c r="L29" i="3"/>
  <c r="K29" i="3"/>
  <c r="J29" i="3"/>
  <c r="I29" i="3"/>
  <c r="H29" i="3"/>
  <c r="G29" i="3"/>
  <c r="F29" i="3"/>
  <c r="P28" i="3"/>
  <c r="M28" i="3"/>
  <c r="L28" i="3"/>
  <c r="K28" i="3"/>
  <c r="J28" i="3"/>
  <c r="I28" i="3"/>
  <c r="H28" i="3"/>
  <c r="G28" i="3"/>
  <c r="F28" i="3"/>
  <c r="P27" i="3"/>
  <c r="M27" i="3"/>
  <c r="L27" i="3"/>
  <c r="K27" i="3"/>
  <c r="J27" i="3"/>
  <c r="I27" i="3"/>
  <c r="H27" i="3"/>
  <c r="G27" i="3"/>
  <c r="F27" i="3"/>
  <c r="P26" i="3"/>
  <c r="M26" i="3"/>
  <c r="L26" i="3"/>
  <c r="K26" i="3"/>
  <c r="J26" i="3"/>
  <c r="I26" i="3"/>
  <c r="H26" i="3"/>
  <c r="G26" i="3"/>
  <c r="F26" i="3"/>
  <c r="P25" i="3"/>
  <c r="M25" i="3"/>
  <c r="L25" i="3"/>
  <c r="K25" i="3"/>
  <c r="J25" i="3"/>
  <c r="I25" i="3"/>
  <c r="H25" i="3"/>
  <c r="G25" i="3"/>
  <c r="F25" i="3"/>
  <c r="P24" i="3"/>
  <c r="M24" i="3"/>
  <c r="L24" i="3"/>
  <c r="K24" i="3"/>
  <c r="J24" i="3"/>
  <c r="I24" i="3"/>
  <c r="H24" i="3"/>
  <c r="G24" i="3"/>
  <c r="F24" i="3"/>
  <c r="P23" i="3"/>
  <c r="M23" i="3"/>
  <c r="L23" i="3"/>
  <c r="K23" i="3"/>
  <c r="J23" i="3"/>
  <c r="I23" i="3"/>
  <c r="H23" i="3"/>
  <c r="G23" i="3"/>
  <c r="F23" i="3"/>
  <c r="P22" i="3"/>
  <c r="M22" i="3"/>
  <c r="L22" i="3"/>
  <c r="K22" i="3"/>
  <c r="J22" i="3"/>
  <c r="I22" i="3"/>
  <c r="H22" i="3"/>
  <c r="G22" i="3"/>
  <c r="F22" i="3"/>
  <c r="P21" i="3"/>
  <c r="M21" i="3"/>
  <c r="L21" i="3"/>
  <c r="K21" i="3"/>
  <c r="J21" i="3"/>
  <c r="I21" i="3"/>
  <c r="H21" i="3"/>
  <c r="G21" i="3"/>
  <c r="F21" i="3"/>
  <c r="P20" i="3"/>
  <c r="M20" i="3"/>
  <c r="L20" i="3"/>
  <c r="K20" i="3"/>
  <c r="J20" i="3"/>
  <c r="I20" i="3"/>
  <c r="H20" i="3"/>
  <c r="G20" i="3"/>
  <c r="F20" i="3"/>
  <c r="P19" i="3"/>
  <c r="M19" i="3"/>
  <c r="L19" i="3"/>
  <c r="K19" i="3"/>
  <c r="J19" i="3"/>
  <c r="I19" i="3"/>
  <c r="H19" i="3"/>
  <c r="G19" i="3"/>
  <c r="F19" i="3"/>
  <c r="P18" i="3"/>
  <c r="M18" i="3"/>
  <c r="L18" i="3"/>
  <c r="K18" i="3"/>
  <c r="J18" i="3"/>
  <c r="I18" i="3"/>
  <c r="H18" i="3"/>
  <c r="G18" i="3"/>
  <c r="F18" i="3"/>
  <c r="P17" i="3"/>
  <c r="M17" i="3"/>
  <c r="L17" i="3"/>
  <c r="K17" i="3"/>
  <c r="J17" i="3"/>
  <c r="I17" i="3"/>
  <c r="H17" i="3"/>
  <c r="G17" i="3"/>
  <c r="F17" i="3"/>
  <c r="P16" i="3"/>
  <c r="M16" i="3"/>
  <c r="L16" i="3"/>
  <c r="K16" i="3"/>
  <c r="J16" i="3"/>
  <c r="I16" i="3"/>
  <c r="H16" i="3"/>
  <c r="G16" i="3"/>
  <c r="F16" i="3"/>
  <c r="P15" i="3"/>
  <c r="M15" i="3"/>
  <c r="L15" i="3"/>
  <c r="K15" i="3"/>
  <c r="J15" i="3"/>
  <c r="I15" i="3"/>
  <c r="H15" i="3"/>
  <c r="G15" i="3"/>
  <c r="F15" i="3"/>
  <c r="P14" i="3"/>
  <c r="M14" i="3"/>
  <c r="L14" i="3"/>
  <c r="K14" i="3"/>
  <c r="J14" i="3"/>
  <c r="I14" i="3"/>
  <c r="H14" i="3"/>
  <c r="G14" i="3"/>
  <c r="F14" i="3"/>
  <c r="P13" i="3"/>
  <c r="M13" i="3"/>
  <c r="L13" i="3"/>
  <c r="K13" i="3"/>
  <c r="J13" i="3"/>
  <c r="I13" i="3"/>
  <c r="H13" i="3"/>
  <c r="G13" i="3"/>
  <c r="F13" i="3"/>
  <c r="P12" i="3"/>
  <c r="M12" i="3"/>
  <c r="L12" i="3"/>
  <c r="I12" i="3"/>
  <c r="H12" i="3"/>
  <c r="F12" i="3"/>
  <c r="P11" i="3"/>
  <c r="L11" i="3"/>
  <c r="H11" i="3"/>
  <c r="F11" i="3"/>
  <c r="P10" i="3"/>
  <c r="L10" i="3"/>
  <c r="I10" i="3"/>
  <c r="H10" i="3"/>
  <c r="F10" i="3"/>
  <c r="P9" i="3"/>
  <c r="F9" i="3" s="1"/>
  <c r="L9" i="3"/>
  <c r="I9" i="3"/>
  <c r="H9" i="3"/>
  <c r="P8" i="3"/>
  <c r="F8" i="3" s="1"/>
  <c r="L8" i="3"/>
  <c r="H8" i="3"/>
  <c r="P7" i="3"/>
  <c r="F7" i="3" s="1"/>
  <c r="L7" i="3"/>
  <c r="I7" i="3"/>
  <c r="H7" i="3"/>
  <c r="P6" i="3"/>
  <c r="F6" i="3" s="1"/>
  <c r="L6" i="3"/>
  <c r="H6" i="3"/>
  <c r="P5" i="3"/>
  <c r="L5" i="3"/>
  <c r="I5" i="3"/>
  <c r="H5" i="3"/>
  <c r="F5" i="3"/>
  <c r="O28" i="3" l="1"/>
  <c r="O15" i="3"/>
  <c r="O23" i="3"/>
  <c r="O21" i="3"/>
  <c r="O11" i="3"/>
  <c r="O14" i="3"/>
  <c r="O25" i="3"/>
  <c r="O13" i="3"/>
  <c r="O32" i="3"/>
  <c r="O20" i="3"/>
  <c r="O8" i="3"/>
  <c r="O27" i="3"/>
  <c r="O34" i="3"/>
  <c r="O22" i="3"/>
  <c r="O10" i="3"/>
  <c r="O29" i="3"/>
  <c r="O17" i="3"/>
  <c r="O5" i="3"/>
  <c r="O24" i="3"/>
  <c r="O12" i="3"/>
  <c r="O31" i="3"/>
  <c r="O19" i="3"/>
  <c r="O7" i="3"/>
  <c r="O26" i="3"/>
  <c r="O30" i="3"/>
  <c r="O18" i="3"/>
  <c r="O6" i="3"/>
  <c r="O9" i="3"/>
  <c r="O16" i="3"/>
  <c r="O33" i="3"/>
  <c r="I8" i="3"/>
  <c r="I6" i="3"/>
  <c r="L393" i="4" l="1"/>
  <c r="L369" i="4"/>
  <c r="L345" i="4"/>
  <c r="L321" i="4"/>
  <c r="L297" i="4"/>
  <c r="L273" i="4"/>
  <c r="L249" i="4"/>
  <c r="L404" i="4"/>
  <c r="L380" i="4"/>
  <c r="L356" i="4"/>
  <c r="L391" i="4"/>
  <c r="L367" i="4"/>
  <c r="L343" i="4"/>
  <c r="L319" i="4"/>
  <c r="L295" i="4"/>
  <c r="L402" i="4"/>
  <c r="L378" i="4"/>
  <c r="L354" i="4"/>
  <c r="L330" i="4"/>
  <c r="L306" i="4"/>
  <c r="L389" i="4"/>
  <c r="L365" i="4"/>
  <c r="L341" i="4"/>
  <c r="L400" i="4"/>
  <c r="L376" i="4"/>
  <c r="L352" i="4"/>
  <c r="L387" i="4"/>
  <c r="L363" i="4"/>
  <c r="L339" i="4"/>
  <c r="L315" i="4"/>
  <c r="L291" i="4"/>
  <c r="L398" i="4"/>
  <c r="L374" i="4"/>
  <c r="L350" i="4"/>
  <c r="L326" i="4"/>
  <c r="L302" i="4"/>
  <c r="L385" i="4"/>
  <c r="L361" i="4"/>
  <c r="L337" i="4"/>
  <c r="L313" i="4"/>
  <c r="L289" i="4"/>
  <c r="L265" i="4"/>
  <c r="L396" i="4"/>
  <c r="L372" i="4"/>
  <c r="L348" i="4"/>
  <c r="L324" i="4"/>
  <c r="L300" i="4"/>
  <c r="L276" i="4"/>
  <c r="L252" i="4"/>
  <c r="L383" i="4"/>
  <c r="L359" i="4"/>
  <c r="L335" i="4"/>
  <c r="L311" i="4"/>
  <c r="L287" i="4"/>
  <c r="L263" i="4"/>
  <c r="L394" i="4"/>
  <c r="L370" i="4"/>
  <c r="L381" i="4"/>
  <c r="L357" i="4"/>
  <c r="L333" i="4"/>
  <c r="L392" i="4"/>
  <c r="L368" i="4"/>
  <c r="L344" i="4"/>
  <c r="L320" i="4"/>
  <c r="L296" i="4"/>
  <c r="L403" i="4"/>
  <c r="L379" i="4"/>
  <c r="L355" i="4"/>
  <c r="L331" i="4"/>
  <c r="L307" i="4"/>
  <c r="L390" i="4"/>
  <c r="L366" i="4"/>
  <c r="L342" i="4"/>
  <c r="L318" i="4"/>
  <c r="L294" i="4"/>
  <c r="L401" i="4"/>
  <c r="L377" i="4"/>
  <c r="L388" i="4"/>
  <c r="L364" i="4"/>
  <c r="L340" i="4"/>
  <c r="L316" i="4"/>
  <c r="L292" i="4"/>
  <c r="L268" i="4"/>
  <c r="L399" i="4"/>
  <c r="L375" i="4"/>
  <c r="L351" i="4"/>
  <c r="L327" i="4"/>
  <c r="L386" i="4"/>
  <c r="L395" i="4"/>
  <c r="L371" i="4"/>
  <c r="L347" i="4"/>
  <c r="L349" i="4"/>
  <c r="L304" i="4"/>
  <c r="L228" i="4"/>
  <c r="L204" i="4"/>
  <c r="L180" i="4"/>
  <c r="L156" i="4"/>
  <c r="L274" i="4"/>
  <c r="L239" i="4"/>
  <c r="L293" i="4"/>
  <c r="L288" i="4"/>
  <c r="L281" i="4"/>
  <c r="L260" i="4"/>
  <c r="L253" i="4"/>
  <c r="L322" i="4"/>
  <c r="L303" i="4"/>
  <c r="L224" i="4"/>
  <c r="L314" i="4"/>
  <c r="L269" i="4"/>
  <c r="L262" i="4"/>
  <c r="L246" i="4"/>
  <c r="L373" i="4"/>
  <c r="L334" i="4"/>
  <c r="L384" i="4"/>
  <c r="L299" i="4"/>
  <c r="L285" i="4"/>
  <c r="L250" i="4"/>
  <c r="L244" i="4"/>
  <c r="L220" i="4"/>
  <c r="L196" i="4"/>
  <c r="L397" i="4"/>
  <c r="L346" i="4"/>
  <c r="L329" i="4"/>
  <c r="L325" i="4"/>
  <c r="L310" i="4"/>
  <c r="L271" i="4"/>
  <c r="L264" i="4"/>
  <c r="L257" i="4"/>
  <c r="L231" i="4"/>
  <c r="L207" i="4"/>
  <c r="L183" i="4"/>
  <c r="L362" i="4"/>
  <c r="L353" i="4"/>
  <c r="L278" i="4"/>
  <c r="L242" i="4"/>
  <c r="L218" i="4"/>
  <c r="L338" i="4"/>
  <c r="L317" i="4"/>
  <c r="L229" i="4"/>
  <c r="L382" i="4"/>
  <c r="L298" i="4"/>
  <c r="L309" i="4"/>
  <c r="L223" i="4"/>
  <c r="L186" i="4"/>
  <c r="L144" i="4"/>
  <c r="L129" i="4"/>
  <c r="L105" i="4"/>
  <c r="L81" i="4"/>
  <c r="L57" i="4"/>
  <c r="L33" i="4"/>
  <c r="L240" i="4"/>
  <c r="L188" i="4"/>
  <c r="L142" i="4"/>
  <c r="L116" i="4"/>
  <c r="L336" i="4"/>
  <c r="L272" i="4"/>
  <c r="L190" i="4"/>
  <c r="L140" i="4"/>
  <c r="L127" i="4"/>
  <c r="L305" i="4"/>
  <c r="L358" i="4"/>
  <c r="L323" i="4"/>
  <c r="L243" i="4"/>
  <c r="L237" i="4"/>
  <c r="L234" i="4"/>
  <c r="L211" i="4"/>
  <c r="L194" i="4"/>
  <c r="L125" i="4"/>
  <c r="L279" i="4"/>
  <c r="L275" i="4"/>
  <c r="L332" i="4"/>
  <c r="L312" i="4"/>
  <c r="L282" i="4"/>
  <c r="L215" i="4"/>
  <c r="L198" i="4"/>
  <c r="L181" i="4"/>
  <c r="L153" i="4"/>
  <c r="L256" i="4"/>
  <c r="L200" i="4"/>
  <c r="L151" i="4"/>
  <c r="L267" i="4"/>
  <c r="L259" i="4"/>
  <c r="L202" i="4"/>
  <c r="L290" i="4"/>
  <c r="L286" i="4"/>
  <c r="L266" i="4"/>
  <c r="L328" i="4"/>
  <c r="L280" i="4"/>
  <c r="L236" i="4"/>
  <c r="L197" i="4"/>
  <c r="L170" i="4"/>
  <c r="L162" i="4"/>
  <c r="L130" i="4"/>
  <c r="L117" i="4"/>
  <c r="L97" i="4"/>
  <c r="L72" i="4"/>
  <c r="L45" i="4"/>
  <c r="L18" i="4"/>
  <c r="L227" i="4"/>
  <c r="L216" i="4"/>
  <c r="L119" i="4"/>
  <c r="L95" i="4"/>
  <c r="L70" i="4"/>
  <c r="L68" i="4"/>
  <c r="L232" i="4"/>
  <c r="L206" i="4"/>
  <c r="L167" i="4"/>
  <c r="L159" i="4"/>
  <c r="L154" i="4"/>
  <c r="L141" i="4"/>
  <c r="L132" i="4"/>
  <c r="L121" i="4"/>
  <c r="L93" i="4"/>
  <c r="L66" i="4"/>
  <c r="L241" i="4"/>
  <c r="L203" i="4"/>
  <c r="L245" i="4"/>
  <c r="L187" i="4"/>
  <c r="L134" i="4"/>
  <c r="L89" i="4"/>
  <c r="L219" i="4"/>
  <c r="L212" i="4"/>
  <c r="L209" i="4"/>
  <c r="L360" i="4"/>
  <c r="L251" i="4"/>
  <c r="L258" i="4"/>
  <c r="L184" i="4"/>
  <c r="L143" i="4"/>
  <c r="L110" i="4"/>
  <c r="L108" i="4"/>
  <c r="L222" i="4"/>
  <c r="L172" i="4"/>
  <c r="L161" i="4"/>
  <c r="L112" i="4"/>
  <c r="L106" i="4"/>
  <c r="L79" i="4"/>
  <c r="L270" i="4"/>
  <c r="L235" i="4"/>
  <c r="L199" i="4"/>
  <c r="L169" i="4"/>
  <c r="L138" i="4"/>
  <c r="L114" i="4"/>
  <c r="L104" i="4"/>
  <c r="L277" i="4"/>
  <c r="L102" i="4"/>
  <c r="L75" i="4"/>
  <c r="L230" i="4"/>
  <c r="L208" i="4"/>
  <c r="L148" i="4"/>
  <c r="L100" i="4"/>
  <c r="L73" i="4"/>
  <c r="L226" i="4"/>
  <c r="L205" i="4"/>
  <c r="L189" i="4"/>
  <c r="L166" i="4"/>
  <c r="L284" i="4"/>
  <c r="L255" i="4"/>
  <c r="L192" i="4"/>
  <c r="L177" i="4"/>
  <c r="L158" i="4"/>
  <c r="L248" i="4"/>
  <c r="L163" i="4"/>
  <c r="L308" i="4"/>
  <c r="L301" i="4"/>
  <c r="L247" i="4"/>
  <c r="L168" i="4"/>
  <c r="L96" i="4"/>
  <c r="L44" i="4"/>
  <c r="L42" i="4"/>
  <c r="L40" i="4"/>
  <c r="L38" i="4"/>
  <c r="L36" i="4"/>
  <c r="L34" i="4"/>
  <c r="L32" i="4"/>
  <c r="L30" i="4"/>
  <c r="L28" i="4"/>
  <c r="L26" i="4"/>
  <c r="L24" i="4"/>
  <c r="L22" i="4"/>
  <c r="L14" i="4"/>
  <c r="L118" i="4"/>
  <c r="L115" i="4"/>
  <c r="L54" i="4"/>
  <c r="L52" i="4"/>
  <c r="L50" i="4"/>
  <c r="L48" i="4"/>
  <c r="L46" i="4"/>
  <c r="L12" i="4"/>
  <c r="L99" i="4"/>
  <c r="L90" i="4"/>
  <c r="L65" i="4"/>
  <c r="L56" i="4"/>
  <c r="L10" i="4"/>
  <c r="L157" i="4"/>
  <c r="L76" i="4"/>
  <c r="L58" i="4"/>
  <c r="L8" i="4"/>
  <c r="L210" i="4"/>
  <c r="L139" i="4"/>
  <c r="L87" i="4"/>
  <c r="L60" i="4"/>
  <c r="L6" i="4"/>
  <c r="L201" i="4"/>
  <c r="L152" i="4"/>
  <c r="L147" i="4"/>
  <c r="L111" i="4"/>
  <c r="L84" i="4"/>
  <c r="L135" i="4"/>
  <c r="L128" i="4"/>
  <c r="L29" i="4"/>
  <c r="L25" i="4"/>
  <c r="L217" i="4"/>
  <c r="L193" i="4"/>
  <c r="L179" i="4"/>
  <c r="L173" i="4"/>
  <c r="L98" i="4"/>
  <c r="L62" i="4"/>
  <c r="L131" i="4"/>
  <c r="L124" i="4"/>
  <c r="L67" i="4"/>
  <c r="L31" i="4"/>
  <c r="L27" i="4"/>
  <c r="L185" i="4"/>
  <c r="L101" i="4"/>
  <c r="L92" i="4"/>
  <c r="L78" i="4"/>
  <c r="L261" i="4"/>
  <c r="L107" i="4"/>
  <c r="L238" i="4"/>
  <c r="L225" i="4"/>
  <c r="L178" i="4"/>
  <c r="L171" i="4"/>
  <c r="L160" i="4"/>
  <c r="L155" i="4"/>
  <c r="L120" i="4"/>
  <c r="L283" i="4"/>
  <c r="L86" i="4"/>
  <c r="L64" i="4"/>
  <c r="L43" i="4"/>
  <c r="L41" i="4"/>
  <c r="L39" i="4"/>
  <c r="L37" i="4"/>
  <c r="L35" i="4"/>
  <c r="L15" i="4"/>
  <c r="L191" i="4"/>
  <c r="L165" i="4"/>
  <c r="L150" i="4"/>
  <c r="L146" i="4"/>
  <c r="L55" i="4"/>
  <c r="L53" i="4"/>
  <c r="L51" i="4"/>
  <c r="L49" i="4"/>
  <c r="L47" i="4"/>
  <c r="L13" i="4"/>
  <c r="L214" i="4"/>
  <c r="L145" i="4"/>
  <c r="L123" i="4"/>
  <c r="L83" i="4"/>
  <c r="L69" i="4"/>
  <c r="L11" i="4"/>
  <c r="L113" i="4"/>
  <c r="L80" i="4"/>
  <c r="L9" i="4"/>
  <c r="L77" i="4"/>
  <c r="L137" i="4"/>
  <c r="L103" i="4"/>
  <c r="L94" i="4"/>
  <c r="L61" i="4"/>
  <c r="L221" i="4"/>
  <c r="L213" i="4"/>
  <c r="L195" i="4"/>
  <c r="L182" i="4"/>
  <c r="L175" i="4"/>
  <c r="L136" i="4"/>
  <c r="L82" i="4"/>
  <c r="L16" i="4"/>
  <c r="L174" i="4"/>
  <c r="L20" i="4"/>
  <c r="L7" i="4"/>
  <c r="L133" i="4"/>
  <c r="L176" i="4"/>
  <c r="L254" i="4"/>
  <c r="L109" i="4"/>
  <c r="L91" i="4"/>
  <c r="L59" i="4"/>
  <c r="L21" i="4"/>
  <c r="L74" i="4"/>
  <c r="L5" i="4"/>
  <c r="L126" i="4"/>
  <c r="L88" i="4"/>
  <c r="L149" i="4"/>
  <c r="L71" i="4"/>
  <c r="L233" i="4"/>
  <c r="L19" i="4"/>
  <c r="L122" i="4"/>
  <c r="L85" i="4"/>
  <c r="L17" i="4"/>
  <c r="L164" i="4"/>
  <c r="L63" i="4"/>
  <c r="L23" i="4"/>
  <c r="K228" i="4" l="1"/>
  <c r="H228" i="4"/>
  <c r="F228" i="4"/>
  <c r="D228" i="4"/>
  <c r="C228" i="4"/>
  <c r="B228" i="4"/>
  <c r="A228" i="4"/>
  <c r="J228" i="4"/>
  <c r="I228" i="4"/>
  <c r="G228" i="4"/>
  <c r="E228" i="4"/>
  <c r="M228" i="4"/>
  <c r="K304" i="4"/>
  <c r="J304" i="4"/>
  <c r="I304" i="4"/>
  <c r="H304" i="4"/>
  <c r="G304" i="4"/>
  <c r="D304" i="4"/>
  <c r="C304" i="4"/>
  <c r="B304" i="4"/>
  <c r="F304" i="4"/>
  <c r="E304" i="4"/>
  <c r="A304" i="4"/>
  <c r="M304" i="4"/>
  <c r="M372" i="4"/>
  <c r="K372" i="4"/>
  <c r="J372" i="4"/>
  <c r="I372" i="4"/>
  <c r="H372" i="4"/>
  <c r="G372" i="4"/>
  <c r="F372" i="4"/>
  <c r="E372" i="4"/>
  <c r="D372" i="4"/>
  <c r="C372" i="4"/>
  <c r="B372" i="4"/>
  <c r="A372" i="4"/>
  <c r="B16" i="4"/>
  <c r="A16" i="4"/>
  <c r="M16" i="4"/>
  <c r="C16" i="4" s="1"/>
  <c r="M6" i="4"/>
  <c r="C6" i="4"/>
  <c r="B6" i="4"/>
  <c r="A6" i="4"/>
  <c r="K108" i="4"/>
  <c r="J108" i="4"/>
  <c r="I108" i="4"/>
  <c r="H108" i="4"/>
  <c r="M108" i="4"/>
  <c r="G108" i="4"/>
  <c r="F108" i="4"/>
  <c r="E108" i="4"/>
  <c r="D108" i="4"/>
  <c r="C108" i="4"/>
  <c r="B108" i="4"/>
  <c r="A108" i="4"/>
  <c r="J182" i="4"/>
  <c r="B182" i="4"/>
  <c r="A182" i="4"/>
  <c r="I182" i="4"/>
  <c r="H182" i="4"/>
  <c r="G182" i="4"/>
  <c r="E182" i="4"/>
  <c r="K182" i="4"/>
  <c r="F182" i="4"/>
  <c r="D182" i="4"/>
  <c r="C182" i="4"/>
  <c r="M182" i="4"/>
  <c r="M68" i="4"/>
  <c r="C68" i="4" s="1"/>
  <c r="B68" i="4"/>
  <c r="A68" i="4"/>
  <c r="M73" i="4"/>
  <c r="C73" i="4" s="1"/>
  <c r="B73" i="4"/>
  <c r="A73" i="4"/>
  <c r="E268" i="4"/>
  <c r="B268" i="4"/>
  <c r="A268" i="4"/>
  <c r="M268" i="4"/>
  <c r="K268" i="4"/>
  <c r="I268" i="4"/>
  <c r="H268" i="4"/>
  <c r="F268" i="4"/>
  <c r="D268" i="4"/>
  <c r="C268" i="4"/>
  <c r="J268" i="4"/>
  <c r="G268" i="4"/>
  <c r="B91" i="4"/>
  <c r="M91" i="4"/>
  <c r="C91" i="4" s="1"/>
  <c r="A91" i="4"/>
  <c r="A11" i="4"/>
  <c r="M11" i="4"/>
  <c r="C11" i="4"/>
  <c r="B11" i="4"/>
  <c r="B283" i="4"/>
  <c r="I283" i="4"/>
  <c r="M283" i="4"/>
  <c r="K283" i="4"/>
  <c r="H283" i="4"/>
  <c r="G283" i="4"/>
  <c r="F283" i="4"/>
  <c r="E283" i="4"/>
  <c r="C283" i="4"/>
  <c r="J283" i="4"/>
  <c r="D283" i="4"/>
  <c r="A283" i="4"/>
  <c r="K217" i="4"/>
  <c r="C217" i="4"/>
  <c r="B217" i="4"/>
  <c r="A217" i="4"/>
  <c r="D217" i="4"/>
  <c r="M217" i="4"/>
  <c r="J217" i="4"/>
  <c r="I217" i="4"/>
  <c r="H217" i="4"/>
  <c r="G217" i="4"/>
  <c r="F217" i="4"/>
  <c r="E217" i="4"/>
  <c r="M12" i="4"/>
  <c r="C12" i="4"/>
  <c r="A12" i="4"/>
  <c r="B12" i="4"/>
  <c r="H301" i="4"/>
  <c r="F301" i="4"/>
  <c r="E301" i="4"/>
  <c r="B301" i="4"/>
  <c r="A301" i="4"/>
  <c r="C301" i="4"/>
  <c r="J301" i="4"/>
  <c r="I301" i="4"/>
  <c r="G301" i="4"/>
  <c r="D301" i="4"/>
  <c r="M301" i="4"/>
  <c r="K301" i="4"/>
  <c r="K169" i="4"/>
  <c r="B169" i="4"/>
  <c r="I169" i="4"/>
  <c r="H169" i="4"/>
  <c r="M169" i="4"/>
  <c r="J169" i="4"/>
  <c r="G169" i="4"/>
  <c r="F169" i="4"/>
  <c r="E169" i="4"/>
  <c r="D169" i="4"/>
  <c r="A169" i="4"/>
  <c r="C169" i="4"/>
  <c r="A203" i="4"/>
  <c r="J203" i="4"/>
  <c r="I203" i="4"/>
  <c r="H203" i="4"/>
  <c r="F203" i="4"/>
  <c r="C203" i="4"/>
  <c r="B203" i="4"/>
  <c r="M203" i="4"/>
  <c r="K203" i="4"/>
  <c r="G203" i="4"/>
  <c r="E203" i="4"/>
  <c r="D203" i="4"/>
  <c r="F162" i="4"/>
  <c r="D162" i="4"/>
  <c r="C162" i="4"/>
  <c r="B162" i="4"/>
  <c r="K162" i="4"/>
  <c r="J162" i="4"/>
  <c r="H162" i="4"/>
  <c r="A162" i="4"/>
  <c r="M162" i="4"/>
  <c r="I162" i="4"/>
  <c r="G162" i="4"/>
  <c r="E162" i="4"/>
  <c r="J125" i="4"/>
  <c r="I125" i="4"/>
  <c r="H125" i="4"/>
  <c r="G125" i="4"/>
  <c r="F125" i="4"/>
  <c r="M125" i="4"/>
  <c r="K125" i="4"/>
  <c r="E125" i="4"/>
  <c r="D125" i="4"/>
  <c r="C125" i="4"/>
  <c r="B125" i="4"/>
  <c r="A125" i="4"/>
  <c r="F186" i="4"/>
  <c r="K186" i="4"/>
  <c r="J186" i="4"/>
  <c r="H186" i="4"/>
  <c r="C186" i="4"/>
  <c r="B186" i="4"/>
  <c r="A186" i="4"/>
  <c r="M186" i="4"/>
  <c r="I186" i="4"/>
  <c r="G186" i="4"/>
  <c r="E186" i="4"/>
  <c r="D186" i="4"/>
  <c r="K196" i="4"/>
  <c r="J196" i="4"/>
  <c r="I196" i="4"/>
  <c r="H196" i="4"/>
  <c r="G196" i="4"/>
  <c r="M196" i="4"/>
  <c r="F196" i="4"/>
  <c r="E196" i="4"/>
  <c r="D196" i="4"/>
  <c r="C196" i="4"/>
  <c r="B196" i="4"/>
  <c r="A196" i="4"/>
  <c r="D180" i="4"/>
  <c r="C180" i="4"/>
  <c r="H180" i="4"/>
  <c r="G180" i="4"/>
  <c r="F180" i="4"/>
  <c r="B180" i="4"/>
  <c r="M180" i="4"/>
  <c r="K180" i="4"/>
  <c r="J180" i="4"/>
  <c r="I180" i="4"/>
  <c r="E180" i="4"/>
  <c r="A180" i="4"/>
  <c r="C366" i="4"/>
  <c r="B366" i="4"/>
  <c r="A366" i="4"/>
  <c r="M366" i="4"/>
  <c r="J366" i="4"/>
  <c r="I366" i="4"/>
  <c r="E366" i="4"/>
  <c r="H366" i="4"/>
  <c r="G366" i="4"/>
  <c r="F366" i="4"/>
  <c r="D366" i="4"/>
  <c r="K366" i="4"/>
  <c r="M276" i="4"/>
  <c r="K276" i="4"/>
  <c r="D276" i="4"/>
  <c r="J276" i="4"/>
  <c r="H276" i="4"/>
  <c r="G276" i="4"/>
  <c r="F276" i="4"/>
  <c r="E276" i="4"/>
  <c r="I276" i="4"/>
  <c r="C276" i="4"/>
  <c r="B276" i="4"/>
  <c r="A276" i="4"/>
  <c r="M400" i="4"/>
  <c r="K400" i="4"/>
  <c r="J400" i="4"/>
  <c r="I400" i="4"/>
  <c r="H400" i="4"/>
  <c r="G400" i="4"/>
  <c r="F400" i="4"/>
  <c r="E400" i="4"/>
  <c r="D400" i="4"/>
  <c r="C400" i="4"/>
  <c r="B400" i="4"/>
  <c r="A400" i="4"/>
  <c r="A155" i="4"/>
  <c r="K155" i="4"/>
  <c r="J155" i="4"/>
  <c r="B155" i="4"/>
  <c r="M155" i="4"/>
  <c r="I155" i="4"/>
  <c r="H155" i="4"/>
  <c r="G155" i="4"/>
  <c r="F155" i="4"/>
  <c r="E155" i="4"/>
  <c r="D155" i="4"/>
  <c r="C155" i="4"/>
  <c r="H163" i="4"/>
  <c r="M163" i="4"/>
  <c r="I163" i="4"/>
  <c r="G163" i="4"/>
  <c r="C163" i="4"/>
  <c r="B163" i="4"/>
  <c r="A163" i="4"/>
  <c r="E163" i="4"/>
  <c r="D163" i="4"/>
  <c r="K163" i="4"/>
  <c r="J163" i="4"/>
  <c r="F163" i="4"/>
  <c r="M123" i="4"/>
  <c r="K123" i="4"/>
  <c r="H123" i="4"/>
  <c r="G123" i="4"/>
  <c r="F123" i="4"/>
  <c r="E123" i="4"/>
  <c r="D123" i="4"/>
  <c r="J123" i="4"/>
  <c r="I123" i="4"/>
  <c r="C123" i="4"/>
  <c r="A123" i="4"/>
  <c r="B123" i="4"/>
  <c r="M298" i="4"/>
  <c r="J298" i="4"/>
  <c r="I298" i="4"/>
  <c r="H298" i="4"/>
  <c r="F298" i="4"/>
  <c r="K298" i="4"/>
  <c r="E298" i="4"/>
  <c r="D298" i="4"/>
  <c r="B298" i="4"/>
  <c r="A298" i="4"/>
  <c r="G298" i="4"/>
  <c r="C298" i="4"/>
  <c r="M306" i="4"/>
  <c r="I306" i="4"/>
  <c r="H306" i="4"/>
  <c r="G306" i="4"/>
  <c r="F306" i="4"/>
  <c r="E306" i="4"/>
  <c r="B306" i="4"/>
  <c r="A306" i="4"/>
  <c r="K306" i="4"/>
  <c r="D306" i="4"/>
  <c r="C306" i="4"/>
  <c r="J306" i="4"/>
  <c r="M23" i="4"/>
  <c r="C23" i="4" s="1"/>
  <c r="A23" i="4"/>
  <c r="B23" i="4"/>
  <c r="B24" i="4"/>
  <c r="A24" i="4"/>
  <c r="M24" i="4"/>
  <c r="C24" i="4" s="1"/>
  <c r="B259" i="4"/>
  <c r="I259" i="4"/>
  <c r="M259" i="4"/>
  <c r="J259" i="4"/>
  <c r="H259" i="4"/>
  <c r="G259" i="4"/>
  <c r="F259" i="4"/>
  <c r="E259" i="4"/>
  <c r="D259" i="4"/>
  <c r="C259" i="4"/>
  <c r="A259" i="4"/>
  <c r="K259" i="4"/>
  <c r="K146" i="4"/>
  <c r="J146" i="4"/>
  <c r="I146" i="4"/>
  <c r="G146" i="4"/>
  <c r="C146" i="4"/>
  <c r="B146" i="4"/>
  <c r="H146" i="4"/>
  <c r="F146" i="4"/>
  <c r="E146" i="4"/>
  <c r="D146" i="4"/>
  <c r="A146" i="4"/>
  <c r="M146" i="4"/>
  <c r="A272" i="4"/>
  <c r="H272" i="4"/>
  <c r="J272" i="4"/>
  <c r="I272" i="4"/>
  <c r="G272" i="4"/>
  <c r="E272" i="4"/>
  <c r="C272" i="4"/>
  <c r="M272" i="4"/>
  <c r="F272" i="4"/>
  <c r="D272" i="4"/>
  <c r="K272" i="4"/>
  <c r="B272" i="4"/>
  <c r="B139" i="4"/>
  <c r="A139" i="4"/>
  <c r="K139" i="4"/>
  <c r="J139" i="4"/>
  <c r="I139" i="4"/>
  <c r="G139" i="4"/>
  <c r="D139" i="4"/>
  <c r="C139" i="4"/>
  <c r="M139" i="4"/>
  <c r="H139" i="4"/>
  <c r="F139" i="4"/>
  <c r="E139" i="4"/>
  <c r="H109" i="4"/>
  <c r="G109" i="4"/>
  <c r="F109" i="4"/>
  <c r="E109" i="4"/>
  <c r="D109" i="4"/>
  <c r="B109" i="4"/>
  <c r="A109" i="4"/>
  <c r="I109" i="4"/>
  <c r="C109" i="4"/>
  <c r="M109" i="4"/>
  <c r="K109" i="4"/>
  <c r="J109" i="4"/>
  <c r="A69" i="4"/>
  <c r="B69" i="4"/>
  <c r="M69" i="4"/>
  <c r="C69" i="4" s="1"/>
  <c r="I120" i="4"/>
  <c r="H120" i="4"/>
  <c r="G120" i="4"/>
  <c r="M120" i="4"/>
  <c r="K120" i="4"/>
  <c r="J120" i="4"/>
  <c r="F120" i="4"/>
  <c r="E120" i="4"/>
  <c r="D120" i="4"/>
  <c r="C120" i="4"/>
  <c r="B120" i="4"/>
  <c r="A120" i="4"/>
  <c r="M25" i="4"/>
  <c r="C25" i="4" s="1"/>
  <c r="A25" i="4"/>
  <c r="B25" i="4"/>
  <c r="M46" i="4"/>
  <c r="C46" i="4" s="1"/>
  <c r="A46" i="4"/>
  <c r="B46" i="4"/>
  <c r="M308" i="4"/>
  <c r="K308" i="4"/>
  <c r="J308" i="4"/>
  <c r="G308" i="4"/>
  <c r="F308" i="4"/>
  <c r="E308" i="4"/>
  <c r="D308" i="4"/>
  <c r="C308" i="4"/>
  <c r="H308" i="4"/>
  <c r="B308" i="4"/>
  <c r="A308" i="4"/>
  <c r="I308" i="4"/>
  <c r="E199" i="4"/>
  <c r="H199" i="4"/>
  <c r="G199" i="4"/>
  <c r="F199" i="4"/>
  <c r="C199" i="4"/>
  <c r="M199" i="4"/>
  <c r="K199" i="4"/>
  <c r="J199" i="4"/>
  <c r="I199" i="4"/>
  <c r="D199" i="4"/>
  <c r="B199" i="4"/>
  <c r="A199" i="4"/>
  <c r="K241" i="4"/>
  <c r="J241" i="4"/>
  <c r="I241" i="4"/>
  <c r="G241" i="4"/>
  <c r="E241" i="4"/>
  <c r="C241" i="4"/>
  <c r="B241" i="4"/>
  <c r="A241" i="4"/>
  <c r="D241" i="4"/>
  <c r="M241" i="4"/>
  <c r="H241" i="4"/>
  <c r="F241" i="4"/>
  <c r="M170" i="4"/>
  <c r="E170" i="4"/>
  <c r="D170" i="4"/>
  <c r="C170" i="4"/>
  <c r="A170" i="4"/>
  <c r="K170" i="4"/>
  <c r="J170" i="4"/>
  <c r="I170" i="4"/>
  <c r="H170" i="4"/>
  <c r="B170" i="4"/>
  <c r="F170" i="4"/>
  <c r="G170" i="4"/>
  <c r="M194" i="4"/>
  <c r="I194" i="4"/>
  <c r="H194" i="4"/>
  <c r="G194" i="4"/>
  <c r="F194" i="4"/>
  <c r="E194" i="4"/>
  <c r="D194" i="4"/>
  <c r="C194" i="4"/>
  <c r="B194" i="4"/>
  <c r="A194" i="4"/>
  <c r="K194" i="4"/>
  <c r="J194" i="4"/>
  <c r="E223" i="4"/>
  <c r="D223" i="4"/>
  <c r="K223" i="4"/>
  <c r="J223" i="4"/>
  <c r="H223" i="4"/>
  <c r="C223" i="4"/>
  <c r="B223" i="4"/>
  <c r="A223" i="4"/>
  <c r="M223" i="4"/>
  <c r="I223" i="4"/>
  <c r="G223" i="4"/>
  <c r="F223" i="4"/>
  <c r="K220" i="4"/>
  <c r="J220" i="4"/>
  <c r="I220" i="4"/>
  <c r="H220" i="4"/>
  <c r="G220" i="4"/>
  <c r="F220" i="4"/>
  <c r="E220" i="4"/>
  <c r="D220" i="4"/>
  <c r="C220" i="4"/>
  <c r="B220" i="4"/>
  <c r="A220" i="4"/>
  <c r="M220" i="4"/>
  <c r="D204" i="4"/>
  <c r="C204" i="4"/>
  <c r="B204" i="4"/>
  <c r="A204" i="4"/>
  <c r="F204" i="4"/>
  <c r="E204" i="4"/>
  <c r="H204" i="4"/>
  <c r="G204" i="4"/>
  <c r="M204" i="4"/>
  <c r="J204" i="4"/>
  <c r="K204" i="4"/>
  <c r="I204" i="4"/>
  <c r="C390" i="4"/>
  <c r="B390" i="4"/>
  <c r="A390" i="4"/>
  <c r="M390" i="4"/>
  <c r="K390" i="4"/>
  <c r="J390" i="4"/>
  <c r="I390" i="4"/>
  <c r="H390" i="4"/>
  <c r="E390" i="4"/>
  <c r="G390" i="4"/>
  <c r="F390" i="4"/>
  <c r="D390" i="4"/>
  <c r="M300" i="4"/>
  <c r="K300" i="4"/>
  <c r="H300" i="4"/>
  <c r="G300" i="4"/>
  <c r="F300" i="4"/>
  <c r="D300" i="4"/>
  <c r="J300" i="4"/>
  <c r="I300" i="4"/>
  <c r="E300" i="4"/>
  <c r="C300" i="4"/>
  <c r="A300" i="4"/>
  <c r="B300" i="4"/>
  <c r="M341" i="4"/>
  <c r="K341" i="4"/>
  <c r="J341" i="4"/>
  <c r="I341" i="4"/>
  <c r="H341" i="4"/>
  <c r="G341" i="4"/>
  <c r="F341" i="4"/>
  <c r="D341" i="4"/>
  <c r="C341" i="4"/>
  <c r="B341" i="4"/>
  <c r="A341" i="4"/>
  <c r="E341" i="4"/>
  <c r="M365" i="4"/>
  <c r="K365" i="4"/>
  <c r="J365" i="4"/>
  <c r="I365" i="4"/>
  <c r="H365" i="4"/>
  <c r="G365" i="4"/>
  <c r="F365" i="4"/>
  <c r="E365" i="4"/>
  <c r="D365" i="4"/>
  <c r="C365" i="4"/>
  <c r="B365" i="4"/>
  <c r="A365" i="4"/>
  <c r="M52" i="4"/>
  <c r="C52" i="4" s="1"/>
  <c r="B52" i="4"/>
  <c r="A52" i="4"/>
  <c r="F178" i="4"/>
  <c r="E178" i="4"/>
  <c r="G178" i="4"/>
  <c r="D178" i="4"/>
  <c r="C178" i="4"/>
  <c r="A178" i="4"/>
  <c r="K178" i="4"/>
  <c r="J178" i="4"/>
  <c r="I178" i="4"/>
  <c r="H178" i="4"/>
  <c r="B178" i="4"/>
  <c r="M178" i="4"/>
  <c r="M54" i="4"/>
  <c r="C54" i="4" s="1"/>
  <c r="A54" i="4"/>
  <c r="B54" i="4"/>
  <c r="C177" i="4"/>
  <c r="J177" i="4"/>
  <c r="I177" i="4"/>
  <c r="H177" i="4"/>
  <c r="M177" i="4"/>
  <c r="K177" i="4"/>
  <c r="G177" i="4"/>
  <c r="F177" i="4"/>
  <c r="E177" i="4"/>
  <c r="D177" i="4"/>
  <c r="B177" i="4"/>
  <c r="A177" i="4"/>
  <c r="M106" i="4"/>
  <c r="K106" i="4"/>
  <c r="J106" i="4"/>
  <c r="I106" i="4"/>
  <c r="A106" i="4"/>
  <c r="H106" i="4"/>
  <c r="C106" i="4"/>
  <c r="B106" i="4"/>
  <c r="F106" i="4"/>
  <c r="G106" i="4"/>
  <c r="E106" i="4"/>
  <c r="D106" i="4"/>
  <c r="M132" i="4"/>
  <c r="J132" i="4"/>
  <c r="G132" i="4"/>
  <c r="F132" i="4"/>
  <c r="E132" i="4"/>
  <c r="D132" i="4"/>
  <c r="C132" i="4"/>
  <c r="K132" i="4"/>
  <c r="I132" i="4"/>
  <c r="H132" i="4"/>
  <c r="B132" i="4"/>
  <c r="A132" i="4"/>
  <c r="K328" i="4"/>
  <c r="J328" i="4"/>
  <c r="I328" i="4"/>
  <c r="H328" i="4"/>
  <c r="G328" i="4"/>
  <c r="D328" i="4"/>
  <c r="C328" i="4"/>
  <c r="B328" i="4"/>
  <c r="M328" i="4"/>
  <c r="F328" i="4"/>
  <c r="E328" i="4"/>
  <c r="A328" i="4"/>
  <c r="I243" i="4"/>
  <c r="H243" i="4"/>
  <c r="G243" i="4"/>
  <c r="E243" i="4"/>
  <c r="C243" i="4"/>
  <c r="A243" i="4"/>
  <c r="F243" i="4"/>
  <c r="D243" i="4"/>
  <c r="B243" i="4"/>
  <c r="M243" i="4"/>
  <c r="K243" i="4"/>
  <c r="J243" i="4"/>
  <c r="M229" i="4"/>
  <c r="F229" i="4"/>
  <c r="E229" i="4"/>
  <c r="D229" i="4"/>
  <c r="B229" i="4"/>
  <c r="A229" i="4"/>
  <c r="K229" i="4"/>
  <c r="J229" i="4"/>
  <c r="I229" i="4"/>
  <c r="H229" i="4"/>
  <c r="G229" i="4"/>
  <c r="C229" i="4"/>
  <c r="J299" i="4"/>
  <c r="H299" i="4"/>
  <c r="G299" i="4"/>
  <c r="D299" i="4"/>
  <c r="C299" i="4"/>
  <c r="B299" i="4"/>
  <c r="A299" i="4"/>
  <c r="K299" i="4"/>
  <c r="I299" i="4"/>
  <c r="F299" i="4"/>
  <c r="M299" i="4"/>
  <c r="E299" i="4"/>
  <c r="J347" i="4"/>
  <c r="I347" i="4"/>
  <c r="H347" i="4"/>
  <c r="G347" i="4"/>
  <c r="F347" i="4"/>
  <c r="E347" i="4"/>
  <c r="D347" i="4"/>
  <c r="C347" i="4"/>
  <c r="B347" i="4"/>
  <c r="A347" i="4"/>
  <c r="M347" i="4"/>
  <c r="K347" i="4"/>
  <c r="B379" i="4"/>
  <c r="A379" i="4"/>
  <c r="M379" i="4"/>
  <c r="K379" i="4"/>
  <c r="J379" i="4"/>
  <c r="I379" i="4"/>
  <c r="H379" i="4"/>
  <c r="D379" i="4"/>
  <c r="G379" i="4"/>
  <c r="F379" i="4"/>
  <c r="E379" i="4"/>
  <c r="C379" i="4"/>
  <c r="M396" i="4"/>
  <c r="K396" i="4"/>
  <c r="J396" i="4"/>
  <c r="I396" i="4"/>
  <c r="H396" i="4"/>
  <c r="G396" i="4"/>
  <c r="F396" i="4"/>
  <c r="E396" i="4"/>
  <c r="D396" i="4"/>
  <c r="C396" i="4"/>
  <c r="B396" i="4"/>
  <c r="A396" i="4"/>
  <c r="M330" i="4"/>
  <c r="I330" i="4"/>
  <c r="H330" i="4"/>
  <c r="G330" i="4"/>
  <c r="F330" i="4"/>
  <c r="E330" i="4"/>
  <c r="B330" i="4"/>
  <c r="A330" i="4"/>
  <c r="K330" i="4"/>
  <c r="J330" i="4"/>
  <c r="D330" i="4"/>
  <c r="C330" i="4"/>
  <c r="M389" i="4"/>
  <c r="K389" i="4"/>
  <c r="J389" i="4"/>
  <c r="I389" i="4"/>
  <c r="H389" i="4"/>
  <c r="G389" i="4"/>
  <c r="F389" i="4"/>
  <c r="E389" i="4"/>
  <c r="D389" i="4"/>
  <c r="C389" i="4"/>
  <c r="B389" i="4"/>
  <c r="A389" i="4"/>
  <c r="M192" i="4"/>
  <c r="K192" i="4"/>
  <c r="H192" i="4"/>
  <c r="G192" i="4"/>
  <c r="F192" i="4"/>
  <c r="E192" i="4"/>
  <c r="J192" i="4"/>
  <c r="I192" i="4"/>
  <c r="D192" i="4"/>
  <c r="C192" i="4"/>
  <c r="B192" i="4"/>
  <c r="A192" i="4"/>
  <c r="M112" i="4"/>
  <c r="K112" i="4"/>
  <c r="J112" i="4"/>
  <c r="I112" i="4"/>
  <c r="D112" i="4"/>
  <c r="C112" i="4"/>
  <c r="B112" i="4"/>
  <c r="A112" i="4"/>
  <c r="F112" i="4"/>
  <c r="E112" i="4"/>
  <c r="H112" i="4"/>
  <c r="G112" i="4"/>
  <c r="A141" i="4"/>
  <c r="M141" i="4"/>
  <c r="J141" i="4"/>
  <c r="G141" i="4"/>
  <c r="F141" i="4"/>
  <c r="E141" i="4"/>
  <c r="D141" i="4"/>
  <c r="C141" i="4"/>
  <c r="B141" i="4"/>
  <c r="K141" i="4"/>
  <c r="I141" i="4"/>
  <c r="H141" i="4"/>
  <c r="G266" i="4"/>
  <c r="M266" i="4"/>
  <c r="I266" i="4"/>
  <c r="H266" i="4"/>
  <c r="F266" i="4"/>
  <c r="E266" i="4"/>
  <c r="D266" i="4"/>
  <c r="C266" i="4"/>
  <c r="B266" i="4"/>
  <c r="A266" i="4"/>
  <c r="K266" i="4"/>
  <c r="J266" i="4"/>
  <c r="J323" i="4"/>
  <c r="H323" i="4"/>
  <c r="G323" i="4"/>
  <c r="D323" i="4"/>
  <c r="C323" i="4"/>
  <c r="B323" i="4"/>
  <c r="A323" i="4"/>
  <c r="I323" i="4"/>
  <c r="F323" i="4"/>
  <c r="E323" i="4"/>
  <c r="M323" i="4"/>
  <c r="K323" i="4"/>
  <c r="M317" i="4"/>
  <c r="J317" i="4"/>
  <c r="I317" i="4"/>
  <c r="H317" i="4"/>
  <c r="G317" i="4"/>
  <c r="F317" i="4"/>
  <c r="C317" i="4"/>
  <c r="B317" i="4"/>
  <c r="A317" i="4"/>
  <c r="E317" i="4"/>
  <c r="D317" i="4"/>
  <c r="K317" i="4"/>
  <c r="I384" i="4"/>
  <c r="H384" i="4"/>
  <c r="G384" i="4"/>
  <c r="F384" i="4"/>
  <c r="E384" i="4"/>
  <c r="D384" i="4"/>
  <c r="C384" i="4"/>
  <c r="B384" i="4"/>
  <c r="A384" i="4"/>
  <c r="K384" i="4"/>
  <c r="M384" i="4"/>
  <c r="J384" i="4"/>
  <c r="J371" i="4"/>
  <c r="I371" i="4"/>
  <c r="H371" i="4"/>
  <c r="G371" i="4"/>
  <c r="F371" i="4"/>
  <c r="E371" i="4"/>
  <c r="D371" i="4"/>
  <c r="C371" i="4"/>
  <c r="B371" i="4"/>
  <c r="A371" i="4"/>
  <c r="M371" i="4"/>
  <c r="K371" i="4"/>
  <c r="B403" i="4"/>
  <c r="A403" i="4"/>
  <c r="M403" i="4"/>
  <c r="K403" i="4"/>
  <c r="J403" i="4"/>
  <c r="I403" i="4"/>
  <c r="H403" i="4"/>
  <c r="G403" i="4"/>
  <c r="D403" i="4"/>
  <c r="F403" i="4"/>
  <c r="E403" i="4"/>
  <c r="C403" i="4"/>
  <c r="K265" i="4"/>
  <c r="J265" i="4"/>
  <c r="C265" i="4"/>
  <c r="I265" i="4"/>
  <c r="H265" i="4"/>
  <c r="G265" i="4"/>
  <c r="E265" i="4"/>
  <c r="B265" i="4"/>
  <c r="M265" i="4"/>
  <c r="F265" i="4"/>
  <c r="D265" i="4"/>
  <c r="A265" i="4"/>
  <c r="M354" i="4"/>
  <c r="K354" i="4"/>
  <c r="J354" i="4"/>
  <c r="I354" i="4"/>
  <c r="H354" i="4"/>
  <c r="G354" i="4"/>
  <c r="F354" i="4"/>
  <c r="E354" i="4"/>
  <c r="D354" i="4"/>
  <c r="C354" i="4"/>
  <c r="B354" i="4"/>
  <c r="A354" i="4"/>
  <c r="K309" i="4"/>
  <c r="J309" i="4"/>
  <c r="I309" i="4"/>
  <c r="G309" i="4"/>
  <c r="M309" i="4"/>
  <c r="H309" i="4"/>
  <c r="F309" i="4"/>
  <c r="E309" i="4"/>
  <c r="D309" i="4"/>
  <c r="C309" i="4"/>
  <c r="B309" i="4"/>
  <c r="A309" i="4"/>
  <c r="A128" i="4"/>
  <c r="J128" i="4"/>
  <c r="I128" i="4"/>
  <c r="H128" i="4"/>
  <c r="F128" i="4"/>
  <c r="C128" i="4"/>
  <c r="B128" i="4"/>
  <c r="M128" i="4"/>
  <c r="K128" i="4"/>
  <c r="G128" i="4"/>
  <c r="E128" i="4"/>
  <c r="D128" i="4"/>
  <c r="G285" i="4"/>
  <c r="K285" i="4"/>
  <c r="J285" i="4"/>
  <c r="I285" i="4"/>
  <c r="F285" i="4"/>
  <c r="E285" i="4"/>
  <c r="M285" i="4"/>
  <c r="H285" i="4"/>
  <c r="D285" i="4"/>
  <c r="C285" i="4"/>
  <c r="B285" i="4"/>
  <c r="A285" i="4"/>
  <c r="I174" i="4"/>
  <c r="E174" i="4"/>
  <c r="D174" i="4"/>
  <c r="C174" i="4"/>
  <c r="A174" i="4"/>
  <c r="M174" i="4"/>
  <c r="K174" i="4"/>
  <c r="J174" i="4"/>
  <c r="H174" i="4"/>
  <c r="G174" i="4"/>
  <c r="F174" i="4"/>
  <c r="B174" i="4"/>
  <c r="M47" i="4"/>
  <c r="C47" i="4" s="1"/>
  <c r="B47" i="4"/>
  <c r="A47" i="4"/>
  <c r="B238" i="4"/>
  <c r="A238" i="4"/>
  <c r="F238" i="4"/>
  <c r="E238" i="4"/>
  <c r="D238" i="4"/>
  <c r="M238" i="4"/>
  <c r="K238" i="4"/>
  <c r="J238" i="4"/>
  <c r="I238" i="4"/>
  <c r="H238" i="4"/>
  <c r="G238" i="4"/>
  <c r="C238" i="4"/>
  <c r="I147" i="4"/>
  <c r="E147" i="4"/>
  <c r="D147" i="4"/>
  <c r="C147" i="4"/>
  <c r="A147" i="4"/>
  <c r="M147" i="4"/>
  <c r="K147" i="4"/>
  <c r="J147" i="4"/>
  <c r="H147" i="4"/>
  <c r="G147" i="4"/>
  <c r="F147" i="4"/>
  <c r="B147" i="4"/>
  <c r="K118" i="4"/>
  <c r="J118" i="4"/>
  <c r="I118" i="4"/>
  <c r="M118" i="4"/>
  <c r="H118" i="4"/>
  <c r="G118" i="4"/>
  <c r="F118" i="4"/>
  <c r="E118" i="4"/>
  <c r="D118" i="4"/>
  <c r="C118" i="4"/>
  <c r="B118" i="4"/>
  <c r="A118" i="4"/>
  <c r="F255" i="4"/>
  <c r="M255" i="4"/>
  <c r="K255" i="4"/>
  <c r="I255" i="4"/>
  <c r="H255" i="4"/>
  <c r="G255" i="4"/>
  <c r="E255" i="4"/>
  <c r="J255" i="4"/>
  <c r="A255" i="4"/>
  <c r="D255" i="4"/>
  <c r="C255" i="4"/>
  <c r="B255" i="4"/>
  <c r="J161" i="4"/>
  <c r="M161" i="4"/>
  <c r="H161" i="4"/>
  <c r="G161" i="4"/>
  <c r="K161" i="4"/>
  <c r="I161" i="4"/>
  <c r="F161" i="4"/>
  <c r="E161" i="4"/>
  <c r="D161" i="4"/>
  <c r="C161" i="4"/>
  <c r="B161" i="4"/>
  <c r="A161" i="4"/>
  <c r="G154" i="4"/>
  <c r="F154" i="4"/>
  <c r="E154" i="4"/>
  <c r="C154" i="4"/>
  <c r="M154" i="4"/>
  <c r="J154" i="4"/>
  <c r="D154" i="4"/>
  <c r="B154" i="4"/>
  <c r="A154" i="4"/>
  <c r="K154" i="4"/>
  <c r="I154" i="4"/>
  <c r="H154" i="4"/>
  <c r="K286" i="4"/>
  <c r="C286" i="4"/>
  <c r="B286" i="4"/>
  <c r="A286" i="4"/>
  <c r="J286" i="4"/>
  <c r="I286" i="4"/>
  <c r="H286" i="4"/>
  <c r="F286" i="4"/>
  <c r="D286" i="4"/>
  <c r="G286" i="4"/>
  <c r="E286" i="4"/>
  <c r="M286" i="4"/>
  <c r="K358" i="4"/>
  <c r="J358" i="4"/>
  <c r="I358" i="4"/>
  <c r="H358" i="4"/>
  <c r="G358" i="4"/>
  <c r="F358" i="4"/>
  <c r="E358" i="4"/>
  <c r="D358" i="4"/>
  <c r="C358" i="4"/>
  <c r="B358" i="4"/>
  <c r="A358" i="4"/>
  <c r="M358" i="4"/>
  <c r="G338" i="4"/>
  <c r="E338" i="4"/>
  <c r="D338" i="4"/>
  <c r="C338" i="4"/>
  <c r="A338" i="4"/>
  <c r="M338" i="4"/>
  <c r="I338" i="4"/>
  <c r="K338" i="4"/>
  <c r="J338" i="4"/>
  <c r="H338" i="4"/>
  <c r="F338" i="4"/>
  <c r="B338" i="4"/>
  <c r="K334" i="4"/>
  <c r="I334" i="4"/>
  <c r="H334" i="4"/>
  <c r="E334" i="4"/>
  <c r="D334" i="4"/>
  <c r="C334" i="4"/>
  <c r="B334" i="4"/>
  <c r="A334" i="4"/>
  <c r="M334" i="4"/>
  <c r="J334" i="4"/>
  <c r="G334" i="4"/>
  <c r="F334" i="4"/>
  <c r="J395" i="4"/>
  <c r="I395" i="4"/>
  <c r="H395" i="4"/>
  <c r="G395" i="4"/>
  <c r="F395" i="4"/>
  <c r="E395" i="4"/>
  <c r="D395" i="4"/>
  <c r="C395" i="4"/>
  <c r="B395" i="4"/>
  <c r="A395" i="4"/>
  <c r="M395" i="4"/>
  <c r="K395" i="4"/>
  <c r="A296" i="4"/>
  <c r="K296" i="4"/>
  <c r="J296" i="4"/>
  <c r="H296" i="4"/>
  <c r="M296" i="4"/>
  <c r="I296" i="4"/>
  <c r="G296" i="4"/>
  <c r="E296" i="4"/>
  <c r="C296" i="4"/>
  <c r="B296" i="4"/>
  <c r="F296" i="4"/>
  <c r="D296" i="4"/>
  <c r="K289" i="4"/>
  <c r="J289" i="4"/>
  <c r="C289" i="4"/>
  <c r="A289" i="4"/>
  <c r="F289" i="4"/>
  <c r="E289" i="4"/>
  <c r="D289" i="4"/>
  <c r="B289" i="4"/>
  <c r="H289" i="4"/>
  <c r="M289" i="4"/>
  <c r="I289" i="4"/>
  <c r="G289" i="4"/>
  <c r="M378" i="4"/>
  <c r="K378" i="4"/>
  <c r="J378" i="4"/>
  <c r="I378" i="4"/>
  <c r="H378" i="4"/>
  <c r="G378" i="4"/>
  <c r="F378" i="4"/>
  <c r="E378" i="4"/>
  <c r="D378" i="4"/>
  <c r="C378" i="4"/>
  <c r="B378" i="4"/>
  <c r="A378" i="4"/>
  <c r="M235" i="4"/>
  <c r="K235" i="4"/>
  <c r="I235" i="4"/>
  <c r="H235" i="4"/>
  <c r="G235" i="4"/>
  <c r="F235" i="4"/>
  <c r="C235" i="4"/>
  <c r="B235" i="4"/>
  <c r="A235" i="4"/>
  <c r="J235" i="4"/>
  <c r="E235" i="4"/>
  <c r="D235" i="4"/>
  <c r="H160" i="4"/>
  <c r="D160" i="4"/>
  <c r="C160" i="4"/>
  <c r="B160" i="4"/>
  <c r="E160" i="4"/>
  <c r="A160" i="4"/>
  <c r="M160" i="4"/>
  <c r="K160" i="4"/>
  <c r="J160" i="4"/>
  <c r="I160" i="4"/>
  <c r="G160" i="4"/>
  <c r="F160" i="4"/>
  <c r="H349" i="4"/>
  <c r="G349" i="4"/>
  <c r="F349" i="4"/>
  <c r="E349" i="4"/>
  <c r="D349" i="4"/>
  <c r="C349" i="4"/>
  <c r="B349" i="4"/>
  <c r="A349" i="4"/>
  <c r="J349" i="4"/>
  <c r="K349" i="4"/>
  <c r="I349" i="4"/>
  <c r="M349" i="4"/>
  <c r="J107" i="4"/>
  <c r="G107" i="4"/>
  <c r="F107" i="4"/>
  <c r="E107" i="4"/>
  <c r="C107" i="4"/>
  <c r="M107" i="4"/>
  <c r="K107" i="4"/>
  <c r="I107" i="4"/>
  <c r="H107" i="4"/>
  <c r="D107" i="4"/>
  <c r="B107" i="4"/>
  <c r="A107" i="4"/>
  <c r="H152" i="4"/>
  <c r="G152" i="4"/>
  <c r="F152" i="4"/>
  <c r="D152" i="4"/>
  <c r="I152" i="4"/>
  <c r="E152" i="4"/>
  <c r="C152" i="4"/>
  <c r="A152" i="4"/>
  <c r="M152" i="4"/>
  <c r="K152" i="4"/>
  <c r="J152" i="4"/>
  <c r="B152" i="4"/>
  <c r="B14" i="4"/>
  <c r="M14" i="4"/>
  <c r="C14" i="4" s="1"/>
  <c r="A14" i="4"/>
  <c r="M284" i="4"/>
  <c r="E284" i="4"/>
  <c r="D284" i="4"/>
  <c r="C284" i="4"/>
  <c r="G284" i="4"/>
  <c r="F284" i="4"/>
  <c r="B284" i="4"/>
  <c r="I284" i="4"/>
  <c r="H284" i="4"/>
  <c r="A284" i="4"/>
  <c r="K284" i="4"/>
  <c r="J284" i="4"/>
  <c r="K172" i="4"/>
  <c r="E172" i="4"/>
  <c r="D172" i="4"/>
  <c r="C172" i="4"/>
  <c r="A172" i="4"/>
  <c r="M172" i="4"/>
  <c r="J172" i="4"/>
  <c r="I172" i="4"/>
  <c r="H172" i="4"/>
  <c r="G172" i="4"/>
  <c r="F172" i="4"/>
  <c r="B172" i="4"/>
  <c r="M159" i="4"/>
  <c r="I159" i="4"/>
  <c r="H159" i="4"/>
  <c r="J159" i="4"/>
  <c r="E159" i="4"/>
  <c r="D159" i="4"/>
  <c r="C159" i="4"/>
  <c r="B159" i="4"/>
  <c r="A159" i="4"/>
  <c r="K159" i="4"/>
  <c r="G159" i="4"/>
  <c r="F159" i="4"/>
  <c r="G290" i="4"/>
  <c r="M290" i="4"/>
  <c r="K290" i="4"/>
  <c r="I290" i="4"/>
  <c r="H290" i="4"/>
  <c r="F290" i="4"/>
  <c r="E290" i="4"/>
  <c r="C290" i="4"/>
  <c r="B290" i="4"/>
  <c r="J290" i="4"/>
  <c r="D290" i="4"/>
  <c r="A290" i="4"/>
  <c r="D305" i="4"/>
  <c r="B305" i="4"/>
  <c r="A305" i="4"/>
  <c r="M305" i="4"/>
  <c r="K305" i="4"/>
  <c r="J305" i="4"/>
  <c r="I305" i="4"/>
  <c r="G305" i="4"/>
  <c r="F305" i="4"/>
  <c r="E305" i="4"/>
  <c r="C305" i="4"/>
  <c r="H305" i="4"/>
  <c r="M218" i="4"/>
  <c r="K218" i="4"/>
  <c r="J218" i="4"/>
  <c r="I218" i="4"/>
  <c r="G218" i="4"/>
  <c r="D218" i="4"/>
  <c r="C218" i="4"/>
  <c r="B218" i="4"/>
  <c r="A218" i="4"/>
  <c r="H218" i="4"/>
  <c r="F218" i="4"/>
  <c r="E218" i="4"/>
  <c r="H373" i="4"/>
  <c r="G373" i="4"/>
  <c r="F373" i="4"/>
  <c r="E373" i="4"/>
  <c r="D373" i="4"/>
  <c r="C373" i="4"/>
  <c r="B373" i="4"/>
  <c r="A373" i="4"/>
  <c r="J373" i="4"/>
  <c r="M373" i="4"/>
  <c r="K373" i="4"/>
  <c r="I373" i="4"/>
  <c r="G386" i="4"/>
  <c r="F386" i="4"/>
  <c r="E386" i="4"/>
  <c r="D386" i="4"/>
  <c r="C386" i="4"/>
  <c r="B386" i="4"/>
  <c r="A386" i="4"/>
  <c r="M386" i="4"/>
  <c r="I386" i="4"/>
  <c r="K386" i="4"/>
  <c r="J386" i="4"/>
  <c r="H386" i="4"/>
  <c r="A320" i="4"/>
  <c r="K320" i="4"/>
  <c r="J320" i="4"/>
  <c r="H320" i="4"/>
  <c r="G320" i="4"/>
  <c r="M320" i="4"/>
  <c r="I320" i="4"/>
  <c r="F320" i="4"/>
  <c r="E320" i="4"/>
  <c r="D320" i="4"/>
  <c r="C320" i="4"/>
  <c r="B320" i="4"/>
  <c r="M313" i="4"/>
  <c r="K313" i="4"/>
  <c r="J313" i="4"/>
  <c r="G313" i="4"/>
  <c r="F313" i="4"/>
  <c r="E313" i="4"/>
  <c r="C313" i="4"/>
  <c r="I313" i="4"/>
  <c r="H313" i="4"/>
  <c r="D313" i="4"/>
  <c r="B313" i="4"/>
  <c r="A313" i="4"/>
  <c r="M402" i="4"/>
  <c r="K402" i="4"/>
  <c r="J402" i="4"/>
  <c r="I402" i="4"/>
  <c r="H402" i="4"/>
  <c r="G402" i="4"/>
  <c r="F402" i="4"/>
  <c r="E402" i="4"/>
  <c r="D402" i="4"/>
  <c r="C402" i="4"/>
  <c r="B402" i="4"/>
  <c r="A402" i="4"/>
  <c r="I211" i="4"/>
  <c r="H211" i="4"/>
  <c r="G211" i="4"/>
  <c r="F211" i="4"/>
  <c r="E211" i="4"/>
  <c r="D211" i="4"/>
  <c r="M211" i="4"/>
  <c r="K211" i="4"/>
  <c r="C211" i="4"/>
  <c r="B211" i="4"/>
  <c r="A211" i="4"/>
  <c r="J211" i="4"/>
  <c r="B79" i="4"/>
  <c r="A79" i="4"/>
  <c r="M79" i="4"/>
  <c r="C79" i="4" s="1"/>
  <c r="D79" i="4" s="1"/>
  <c r="B63" i="4"/>
  <c r="A63" i="4"/>
  <c r="M63" i="4"/>
  <c r="C63" i="4" s="1"/>
  <c r="B82" i="4"/>
  <c r="A82" i="4"/>
  <c r="M82" i="4"/>
  <c r="C82" i="4" s="1"/>
  <c r="M51" i="4"/>
  <c r="C51" i="4" s="1"/>
  <c r="B51" i="4"/>
  <c r="A51" i="4"/>
  <c r="G261" i="4"/>
  <c r="B261" i="4"/>
  <c r="A261" i="4"/>
  <c r="J261" i="4"/>
  <c r="I261" i="4"/>
  <c r="H261" i="4"/>
  <c r="E261" i="4"/>
  <c r="D261" i="4"/>
  <c r="M261" i="4"/>
  <c r="C261" i="4"/>
  <c r="K261" i="4"/>
  <c r="F261" i="4"/>
  <c r="C201" i="4"/>
  <c r="I201" i="4"/>
  <c r="H201" i="4"/>
  <c r="G201" i="4"/>
  <c r="E201" i="4"/>
  <c r="A201" i="4"/>
  <c r="M201" i="4"/>
  <c r="K201" i="4"/>
  <c r="J201" i="4"/>
  <c r="F201" i="4"/>
  <c r="D201" i="4"/>
  <c r="B201" i="4"/>
  <c r="B22" i="4"/>
  <c r="A22" i="4"/>
  <c r="M22" i="4"/>
  <c r="C22" i="4" s="1"/>
  <c r="B166" i="4"/>
  <c r="E166" i="4"/>
  <c r="D166" i="4"/>
  <c r="C166" i="4"/>
  <c r="M166" i="4"/>
  <c r="K166" i="4"/>
  <c r="J166" i="4"/>
  <c r="I166" i="4"/>
  <c r="H166" i="4"/>
  <c r="G166" i="4"/>
  <c r="F166" i="4"/>
  <c r="A166" i="4"/>
  <c r="J222" i="4"/>
  <c r="I222" i="4"/>
  <c r="H222" i="4"/>
  <c r="G222" i="4"/>
  <c r="M222" i="4"/>
  <c r="K222" i="4"/>
  <c r="F222" i="4"/>
  <c r="E222" i="4"/>
  <c r="D222" i="4"/>
  <c r="C222" i="4"/>
  <c r="B222" i="4"/>
  <c r="A222" i="4"/>
  <c r="M167" i="4"/>
  <c r="D167" i="4"/>
  <c r="I167" i="4"/>
  <c r="H167" i="4"/>
  <c r="K167" i="4"/>
  <c r="J167" i="4"/>
  <c r="E167" i="4"/>
  <c r="C167" i="4"/>
  <c r="B167" i="4"/>
  <c r="A167" i="4"/>
  <c r="G167" i="4"/>
  <c r="F167" i="4"/>
  <c r="F202" i="4"/>
  <c r="E202" i="4"/>
  <c r="M202" i="4"/>
  <c r="K202" i="4"/>
  <c r="J202" i="4"/>
  <c r="I202" i="4"/>
  <c r="H202" i="4"/>
  <c r="G202" i="4"/>
  <c r="D202" i="4"/>
  <c r="C202" i="4"/>
  <c r="B202" i="4"/>
  <c r="A202" i="4"/>
  <c r="M127" i="4"/>
  <c r="J127" i="4"/>
  <c r="K127" i="4"/>
  <c r="I127" i="4"/>
  <c r="H127" i="4"/>
  <c r="G127" i="4"/>
  <c r="F127" i="4"/>
  <c r="E127" i="4"/>
  <c r="D127" i="4"/>
  <c r="C127" i="4"/>
  <c r="B127" i="4"/>
  <c r="A127" i="4"/>
  <c r="M242" i="4"/>
  <c r="K242" i="4"/>
  <c r="J242" i="4"/>
  <c r="H242" i="4"/>
  <c r="B242" i="4"/>
  <c r="A242" i="4"/>
  <c r="I242" i="4"/>
  <c r="D242" i="4"/>
  <c r="G242" i="4"/>
  <c r="F242" i="4"/>
  <c r="E242" i="4"/>
  <c r="C242" i="4"/>
  <c r="J246" i="4"/>
  <c r="I246" i="4"/>
  <c r="H246" i="4"/>
  <c r="G246" i="4"/>
  <c r="M246" i="4"/>
  <c r="F246" i="4"/>
  <c r="C246" i="4"/>
  <c r="B246" i="4"/>
  <c r="A246" i="4"/>
  <c r="K246" i="4"/>
  <c r="E246" i="4"/>
  <c r="D246" i="4"/>
  <c r="F327" i="4"/>
  <c r="D327" i="4"/>
  <c r="C327" i="4"/>
  <c r="M327" i="4"/>
  <c r="H327" i="4"/>
  <c r="G327" i="4"/>
  <c r="E327" i="4"/>
  <c r="B327" i="4"/>
  <c r="A327" i="4"/>
  <c r="K327" i="4"/>
  <c r="J327" i="4"/>
  <c r="I327" i="4"/>
  <c r="A344" i="4"/>
  <c r="M344" i="4"/>
  <c r="K344" i="4"/>
  <c r="J344" i="4"/>
  <c r="H344" i="4"/>
  <c r="G344" i="4"/>
  <c r="C344" i="4"/>
  <c r="I344" i="4"/>
  <c r="F344" i="4"/>
  <c r="E344" i="4"/>
  <c r="D344" i="4"/>
  <c r="B344" i="4"/>
  <c r="M337" i="4"/>
  <c r="K337" i="4"/>
  <c r="J337" i="4"/>
  <c r="H337" i="4"/>
  <c r="G337" i="4"/>
  <c r="F337" i="4"/>
  <c r="E337" i="4"/>
  <c r="C337" i="4"/>
  <c r="B337" i="4"/>
  <c r="A337" i="4"/>
  <c r="I337" i="4"/>
  <c r="D337" i="4"/>
  <c r="K295" i="4"/>
  <c r="H295" i="4"/>
  <c r="F295" i="4"/>
  <c r="E295" i="4"/>
  <c r="D295" i="4"/>
  <c r="M295" i="4"/>
  <c r="J295" i="4"/>
  <c r="G295" i="4"/>
  <c r="C295" i="4"/>
  <c r="I295" i="4"/>
  <c r="B295" i="4"/>
  <c r="A295" i="4"/>
  <c r="M361" i="4"/>
  <c r="K361" i="4"/>
  <c r="J361" i="4"/>
  <c r="I361" i="4"/>
  <c r="H361" i="4"/>
  <c r="G361" i="4"/>
  <c r="F361" i="4"/>
  <c r="E361" i="4"/>
  <c r="C361" i="4"/>
  <c r="B361" i="4"/>
  <c r="D361" i="4"/>
  <c r="A361" i="4"/>
  <c r="K319" i="4"/>
  <c r="H319" i="4"/>
  <c r="G319" i="4"/>
  <c r="F319" i="4"/>
  <c r="E319" i="4"/>
  <c r="D319" i="4"/>
  <c r="A319" i="4"/>
  <c r="I319" i="4"/>
  <c r="C319" i="4"/>
  <c r="B319" i="4"/>
  <c r="M319" i="4"/>
  <c r="J319" i="4"/>
  <c r="M29" i="4"/>
  <c r="C29" i="4" s="1"/>
  <c r="A29" i="4"/>
  <c r="B29" i="4"/>
  <c r="F234" i="4"/>
  <c r="E234" i="4"/>
  <c r="D234" i="4"/>
  <c r="B234" i="4"/>
  <c r="I234" i="4"/>
  <c r="H234" i="4"/>
  <c r="G234" i="4"/>
  <c r="C234" i="4"/>
  <c r="M234" i="4"/>
  <c r="K234" i="4"/>
  <c r="J234" i="4"/>
  <c r="A234" i="4"/>
  <c r="H133" i="4"/>
  <c r="G133" i="4"/>
  <c r="F133" i="4"/>
  <c r="D133" i="4"/>
  <c r="A133" i="4"/>
  <c r="C133" i="4"/>
  <c r="B133" i="4"/>
  <c r="I133" i="4"/>
  <c r="E133" i="4"/>
  <c r="M133" i="4"/>
  <c r="K133" i="4"/>
  <c r="J133" i="4"/>
  <c r="M20" i="4"/>
  <c r="C20" i="4" s="1"/>
  <c r="B20" i="4"/>
  <c r="A20" i="4"/>
  <c r="A368" i="4"/>
  <c r="M368" i="4"/>
  <c r="K368" i="4"/>
  <c r="J368" i="4"/>
  <c r="H368" i="4"/>
  <c r="G368" i="4"/>
  <c r="C368" i="4"/>
  <c r="I368" i="4"/>
  <c r="F368" i="4"/>
  <c r="E368" i="4"/>
  <c r="D368" i="4"/>
  <c r="B368" i="4"/>
  <c r="A17" i="4"/>
  <c r="M17" i="4"/>
  <c r="C17" i="4" s="1"/>
  <c r="B17" i="4"/>
  <c r="E175" i="4"/>
  <c r="J175" i="4"/>
  <c r="I175" i="4"/>
  <c r="H175" i="4"/>
  <c r="K175" i="4"/>
  <c r="G175" i="4"/>
  <c r="F175" i="4"/>
  <c r="D175" i="4"/>
  <c r="C175" i="4"/>
  <c r="B175" i="4"/>
  <c r="A175" i="4"/>
  <c r="M175" i="4"/>
  <c r="M55" i="4"/>
  <c r="C55" i="4" s="1"/>
  <c r="B55" i="4"/>
  <c r="A55" i="4"/>
  <c r="M92" i="4"/>
  <c r="B92" i="4"/>
  <c r="A92" i="4"/>
  <c r="K92" i="4"/>
  <c r="J92" i="4"/>
  <c r="I92" i="4"/>
  <c r="H92" i="4"/>
  <c r="G92" i="4"/>
  <c r="F92" i="4"/>
  <c r="E92" i="4"/>
  <c r="D92" i="4"/>
  <c r="C92" i="4"/>
  <c r="M60" i="4"/>
  <c r="C60" i="4" s="1"/>
  <c r="B60" i="4"/>
  <c r="A60" i="4"/>
  <c r="B26" i="4"/>
  <c r="A26" i="4"/>
  <c r="M26" i="4"/>
  <c r="C26" i="4" s="1"/>
  <c r="K205" i="4"/>
  <c r="J205" i="4"/>
  <c r="I205" i="4"/>
  <c r="G205" i="4"/>
  <c r="D205" i="4"/>
  <c r="C205" i="4"/>
  <c r="B205" i="4"/>
  <c r="A205" i="4"/>
  <c r="M205" i="4"/>
  <c r="H205" i="4"/>
  <c r="F205" i="4"/>
  <c r="E205" i="4"/>
  <c r="K110" i="4"/>
  <c r="J110" i="4"/>
  <c r="I110" i="4"/>
  <c r="H110" i="4"/>
  <c r="M110" i="4"/>
  <c r="G110" i="4"/>
  <c r="F110" i="4"/>
  <c r="E110" i="4"/>
  <c r="D110" i="4"/>
  <c r="C110" i="4"/>
  <c r="B110" i="4"/>
  <c r="A110" i="4"/>
  <c r="H232" i="4"/>
  <c r="G232" i="4"/>
  <c r="F232" i="4"/>
  <c r="D232" i="4"/>
  <c r="B232" i="4"/>
  <c r="I232" i="4"/>
  <c r="E232" i="4"/>
  <c r="C232" i="4"/>
  <c r="M232" i="4"/>
  <c r="K232" i="4"/>
  <c r="J232" i="4"/>
  <c r="A232" i="4"/>
  <c r="J267" i="4"/>
  <c r="I267" i="4"/>
  <c r="H267" i="4"/>
  <c r="A267" i="4"/>
  <c r="M267" i="4"/>
  <c r="K267" i="4"/>
  <c r="F267" i="4"/>
  <c r="D267" i="4"/>
  <c r="C267" i="4"/>
  <c r="B267" i="4"/>
  <c r="E267" i="4"/>
  <c r="G267" i="4"/>
  <c r="B190" i="4"/>
  <c r="M190" i="4"/>
  <c r="J190" i="4"/>
  <c r="F190" i="4"/>
  <c r="E190" i="4"/>
  <c r="D190" i="4"/>
  <c r="K190" i="4"/>
  <c r="H190" i="4"/>
  <c r="G190" i="4"/>
  <c r="C190" i="4"/>
  <c r="A190" i="4"/>
  <c r="I190" i="4"/>
  <c r="D353" i="4"/>
  <c r="C353" i="4"/>
  <c r="B353" i="4"/>
  <c r="A353" i="4"/>
  <c r="M353" i="4"/>
  <c r="K353" i="4"/>
  <c r="J353" i="4"/>
  <c r="F353" i="4"/>
  <c r="I353" i="4"/>
  <c r="H353" i="4"/>
  <c r="G353" i="4"/>
  <c r="E353" i="4"/>
  <c r="H269" i="4"/>
  <c r="G269" i="4"/>
  <c r="F269" i="4"/>
  <c r="J269" i="4"/>
  <c r="I269" i="4"/>
  <c r="E269" i="4"/>
  <c r="D269" i="4"/>
  <c r="A269" i="4"/>
  <c r="B269" i="4"/>
  <c r="M269" i="4"/>
  <c r="K269" i="4"/>
  <c r="C269" i="4"/>
  <c r="F375" i="4"/>
  <c r="E375" i="4"/>
  <c r="D375" i="4"/>
  <c r="C375" i="4"/>
  <c r="B375" i="4"/>
  <c r="A375" i="4"/>
  <c r="M375" i="4"/>
  <c r="H375" i="4"/>
  <c r="K375" i="4"/>
  <c r="J375" i="4"/>
  <c r="I375" i="4"/>
  <c r="G375" i="4"/>
  <c r="A392" i="4"/>
  <c r="M392" i="4"/>
  <c r="K392" i="4"/>
  <c r="J392" i="4"/>
  <c r="I392" i="4"/>
  <c r="H392" i="4"/>
  <c r="G392" i="4"/>
  <c r="F392" i="4"/>
  <c r="C392" i="4"/>
  <c r="E392" i="4"/>
  <c r="D392" i="4"/>
  <c r="B392" i="4"/>
  <c r="M385" i="4"/>
  <c r="K385" i="4"/>
  <c r="J385" i="4"/>
  <c r="I385" i="4"/>
  <c r="H385" i="4"/>
  <c r="G385" i="4"/>
  <c r="F385" i="4"/>
  <c r="E385" i="4"/>
  <c r="D385" i="4"/>
  <c r="C385" i="4"/>
  <c r="B385" i="4"/>
  <c r="A385" i="4"/>
  <c r="M343" i="4"/>
  <c r="K343" i="4"/>
  <c r="J343" i="4"/>
  <c r="I343" i="4"/>
  <c r="H343" i="4"/>
  <c r="G343" i="4"/>
  <c r="F343" i="4"/>
  <c r="E343" i="4"/>
  <c r="D343" i="4"/>
  <c r="B343" i="4"/>
  <c r="A343" i="4"/>
  <c r="C343" i="4"/>
  <c r="G362" i="4"/>
  <c r="F362" i="4"/>
  <c r="E362" i="4"/>
  <c r="D362" i="4"/>
  <c r="C362" i="4"/>
  <c r="B362" i="4"/>
  <c r="A362" i="4"/>
  <c r="M362" i="4"/>
  <c r="I362" i="4"/>
  <c r="K362" i="4"/>
  <c r="J362" i="4"/>
  <c r="H362" i="4"/>
  <c r="G314" i="4"/>
  <c r="E314" i="4"/>
  <c r="D314" i="4"/>
  <c r="A314" i="4"/>
  <c r="M314" i="4"/>
  <c r="K314" i="4"/>
  <c r="I314" i="4"/>
  <c r="H314" i="4"/>
  <c r="F314" i="4"/>
  <c r="C314" i="4"/>
  <c r="J314" i="4"/>
  <c r="B314" i="4"/>
  <c r="F399" i="4"/>
  <c r="E399" i="4"/>
  <c r="D399" i="4"/>
  <c r="C399" i="4"/>
  <c r="B399" i="4"/>
  <c r="A399" i="4"/>
  <c r="M399" i="4"/>
  <c r="K399" i="4"/>
  <c r="H399" i="4"/>
  <c r="J399" i="4"/>
  <c r="I399" i="4"/>
  <c r="G399" i="4"/>
  <c r="K333" i="4"/>
  <c r="J333" i="4"/>
  <c r="I333" i="4"/>
  <c r="G333" i="4"/>
  <c r="F333" i="4"/>
  <c r="M333" i="4"/>
  <c r="H333" i="4"/>
  <c r="E333" i="4"/>
  <c r="D333" i="4"/>
  <c r="C333" i="4"/>
  <c r="B333" i="4"/>
  <c r="A333" i="4"/>
  <c r="M302" i="4"/>
  <c r="K302" i="4"/>
  <c r="J302" i="4"/>
  <c r="I302" i="4"/>
  <c r="F302" i="4"/>
  <c r="E302" i="4"/>
  <c r="D302" i="4"/>
  <c r="B302" i="4"/>
  <c r="H302" i="4"/>
  <c r="G302" i="4"/>
  <c r="C302" i="4"/>
  <c r="A302" i="4"/>
  <c r="M367" i="4"/>
  <c r="K367" i="4"/>
  <c r="J367" i="4"/>
  <c r="I367" i="4"/>
  <c r="H367" i="4"/>
  <c r="G367" i="4"/>
  <c r="F367" i="4"/>
  <c r="E367" i="4"/>
  <c r="D367" i="4"/>
  <c r="C367" i="4"/>
  <c r="B367" i="4"/>
  <c r="A367" i="4"/>
  <c r="H184" i="4"/>
  <c r="K184" i="4"/>
  <c r="J184" i="4"/>
  <c r="I184" i="4"/>
  <c r="F184" i="4"/>
  <c r="B184" i="4"/>
  <c r="A184" i="4"/>
  <c r="G184" i="4"/>
  <c r="E184" i="4"/>
  <c r="D184" i="4"/>
  <c r="C184" i="4"/>
  <c r="M184" i="4"/>
  <c r="K244" i="4"/>
  <c r="J244" i="4"/>
  <c r="I244" i="4"/>
  <c r="C244" i="4"/>
  <c r="B244" i="4"/>
  <c r="A244" i="4"/>
  <c r="M244" i="4"/>
  <c r="H244" i="4"/>
  <c r="G244" i="4"/>
  <c r="F244" i="4"/>
  <c r="E244" i="4"/>
  <c r="D244" i="4"/>
  <c r="H248" i="4"/>
  <c r="M248" i="4"/>
  <c r="K248" i="4"/>
  <c r="I248" i="4"/>
  <c r="G248" i="4"/>
  <c r="F248" i="4"/>
  <c r="E248" i="4"/>
  <c r="J248" i="4"/>
  <c r="D248" i="4"/>
  <c r="B248" i="4"/>
  <c r="A248" i="4"/>
  <c r="C248" i="4"/>
  <c r="M121" i="4"/>
  <c r="J121" i="4"/>
  <c r="G121" i="4"/>
  <c r="F121" i="4"/>
  <c r="E121" i="4"/>
  <c r="D121" i="4"/>
  <c r="C121" i="4"/>
  <c r="K121" i="4"/>
  <c r="I121" i="4"/>
  <c r="H121" i="4"/>
  <c r="B121" i="4"/>
  <c r="A121" i="4"/>
  <c r="F111" i="4"/>
  <c r="E111" i="4"/>
  <c r="D111" i="4"/>
  <c r="I111" i="4"/>
  <c r="H111" i="4"/>
  <c r="G111" i="4"/>
  <c r="B111" i="4"/>
  <c r="M111" i="4"/>
  <c r="K111" i="4"/>
  <c r="J111" i="4"/>
  <c r="C111" i="4"/>
  <c r="A111" i="4"/>
  <c r="M136" i="4"/>
  <c r="K136" i="4"/>
  <c r="J136" i="4"/>
  <c r="I136" i="4"/>
  <c r="H136" i="4"/>
  <c r="G136" i="4"/>
  <c r="E136" i="4"/>
  <c r="D136" i="4"/>
  <c r="C136" i="4"/>
  <c r="B136" i="4"/>
  <c r="A136" i="4"/>
  <c r="F136" i="4"/>
  <c r="M70" i="4"/>
  <c r="C70" i="4" s="1"/>
  <c r="D70" i="4" s="1"/>
  <c r="J70" i="4" s="1"/>
  <c r="B70" i="4"/>
  <c r="A70" i="4"/>
  <c r="M95" i="4"/>
  <c r="K95" i="4"/>
  <c r="I95" i="4"/>
  <c r="E95" i="4"/>
  <c r="D95" i="4"/>
  <c r="C95" i="4"/>
  <c r="B95" i="4"/>
  <c r="J95" i="4"/>
  <c r="H95" i="4"/>
  <c r="G95" i="4"/>
  <c r="F95" i="4"/>
  <c r="A95" i="4"/>
  <c r="I256" i="4"/>
  <c r="H256" i="4"/>
  <c r="G256" i="4"/>
  <c r="E256" i="4"/>
  <c r="D256" i="4"/>
  <c r="C256" i="4"/>
  <c r="A256" i="4"/>
  <c r="M256" i="4"/>
  <c r="K256" i="4"/>
  <c r="F256" i="4"/>
  <c r="B256" i="4"/>
  <c r="J256" i="4"/>
  <c r="M116" i="4"/>
  <c r="K116" i="4"/>
  <c r="J116" i="4"/>
  <c r="I116" i="4"/>
  <c r="H116" i="4"/>
  <c r="G116" i="4"/>
  <c r="B116" i="4"/>
  <c r="A116" i="4"/>
  <c r="E116" i="4"/>
  <c r="F116" i="4"/>
  <c r="D116" i="4"/>
  <c r="C116" i="4"/>
  <c r="M207" i="4"/>
  <c r="K207" i="4"/>
  <c r="J207" i="4"/>
  <c r="H207" i="4"/>
  <c r="E207" i="4"/>
  <c r="D207" i="4"/>
  <c r="C207" i="4"/>
  <c r="B207" i="4"/>
  <c r="A207" i="4"/>
  <c r="I207" i="4"/>
  <c r="G207" i="4"/>
  <c r="F207" i="4"/>
  <c r="F303" i="4"/>
  <c r="D303" i="4"/>
  <c r="C303" i="4"/>
  <c r="M303" i="4"/>
  <c r="J303" i="4"/>
  <c r="H303" i="4"/>
  <c r="G303" i="4"/>
  <c r="E303" i="4"/>
  <c r="B303" i="4"/>
  <c r="K303" i="4"/>
  <c r="I303" i="4"/>
  <c r="A303" i="4"/>
  <c r="E292" i="4"/>
  <c r="M292" i="4"/>
  <c r="K292" i="4"/>
  <c r="J292" i="4"/>
  <c r="H292" i="4"/>
  <c r="G292" i="4"/>
  <c r="I292" i="4"/>
  <c r="D292" i="4"/>
  <c r="C292" i="4"/>
  <c r="A292" i="4"/>
  <c r="F292" i="4"/>
  <c r="B292" i="4"/>
  <c r="M381" i="4"/>
  <c r="K381" i="4"/>
  <c r="J381" i="4"/>
  <c r="I381" i="4"/>
  <c r="H381" i="4"/>
  <c r="G381" i="4"/>
  <c r="F381" i="4"/>
  <c r="B381" i="4"/>
  <c r="E381" i="4"/>
  <c r="D381" i="4"/>
  <c r="C381" i="4"/>
  <c r="A381" i="4"/>
  <c r="M350" i="4"/>
  <c r="K350" i="4"/>
  <c r="J350" i="4"/>
  <c r="I350" i="4"/>
  <c r="G350" i="4"/>
  <c r="F350" i="4"/>
  <c r="E350" i="4"/>
  <c r="D350" i="4"/>
  <c r="B350" i="4"/>
  <c r="A350" i="4"/>
  <c r="H350" i="4"/>
  <c r="C350" i="4"/>
  <c r="M356" i="4"/>
  <c r="K356" i="4"/>
  <c r="J356" i="4"/>
  <c r="I356" i="4"/>
  <c r="H356" i="4"/>
  <c r="G356" i="4"/>
  <c r="F356" i="4"/>
  <c r="E356" i="4"/>
  <c r="D356" i="4"/>
  <c r="C356" i="4"/>
  <c r="B356" i="4"/>
  <c r="A356" i="4"/>
  <c r="J251" i="4"/>
  <c r="B251" i="4"/>
  <c r="A251" i="4"/>
  <c r="K251" i="4"/>
  <c r="I251" i="4"/>
  <c r="H251" i="4"/>
  <c r="F251" i="4"/>
  <c r="D251" i="4"/>
  <c r="M251" i="4"/>
  <c r="G251" i="4"/>
  <c r="E251" i="4"/>
  <c r="C251" i="4"/>
  <c r="M119" i="4"/>
  <c r="K119" i="4"/>
  <c r="I119" i="4"/>
  <c r="F119" i="4"/>
  <c r="E119" i="4"/>
  <c r="D119" i="4"/>
  <c r="C119" i="4"/>
  <c r="B119" i="4"/>
  <c r="G119" i="4"/>
  <c r="A119" i="4"/>
  <c r="J119" i="4"/>
  <c r="H119" i="4"/>
  <c r="C153" i="4"/>
  <c r="K153" i="4"/>
  <c r="M153" i="4"/>
  <c r="J153" i="4"/>
  <c r="I153" i="4"/>
  <c r="H153" i="4"/>
  <c r="E153" i="4"/>
  <c r="D153" i="4"/>
  <c r="B153" i="4"/>
  <c r="A153" i="4"/>
  <c r="G153" i="4"/>
  <c r="F153" i="4"/>
  <c r="B142" i="4"/>
  <c r="M142" i="4"/>
  <c r="K142" i="4"/>
  <c r="I142" i="4"/>
  <c r="E142" i="4"/>
  <c r="D142" i="4"/>
  <c r="A142" i="4"/>
  <c r="J142" i="4"/>
  <c r="H142" i="4"/>
  <c r="G142" i="4"/>
  <c r="F142" i="4"/>
  <c r="C142" i="4"/>
  <c r="M231" i="4"/>
  <c r="K231" i="4"/>
  <c r="J231" i="4"/>
  <c r="I231" i="4"/>
  <c r="F231" i="4"/>
  <c r="E231" i="4"/>
  <c r="D231" i="4"/>
  <c r="C231" i="4"/>
  <c r="H231" i="4"/>
  <c r="G231" i="4"/>
  <c r="B231" i="4"/>
  <c r="A231" i="4"/>
  <c r="M322" i="4"/>
  <c r="J322" i="4"/>
  <c r="I322" i="4"/>
  <c r="H322" i="4"/>
  <c r="F322" i="4"/>
  <c r="E322" i="4"/>
  <c r="K322" i="4"/>
  <c r="G322" i="4"/>
  <c r="D322" i="4"/>
  <c r="C322" i="4"/>
  <c r="B322" i="4"/>
  <c r="A322" i="4"/>
  <c r="E316" i="4"/>
  <c r="C316" i="4"/>
  <c r="B316" i="4"/>
  <c r="A316" i="4"/>
  <c r="M316" i="4"/>
  <c r="K316" i="4"/>
  <c r="J316" i="4"/>
  <c r="I316" i="4"/>
  <c r="H316" i="4"/>
  <c r="G316" i="4"/>
  <c r="F316" i="4"/>
  <c r="D316" i="4"/>
  <c r="M370" i="4"/>
  <c r="K370" i="4"/>
  <c r="J370" i="4"/>
  <c r="I370" i="4"/>
  <c r="H370" i="4"/>
  <c r="G370" i="4"/>
  <c r="F370" i="4"/>
  <c r="E370" i="4"/>
  <c r="A370" i="4"/>
  <c r="D370" i="4"/>
  <c r="C370" i="4"/>
  <c r="B370" i="4"/>
  <c r="M374" i="4"/>
  <c r="K374" i="4"/>
  <c r="J374" i="4"/>
  <c r="I374" i="4"/>
  <c r="H374" i="4"/>
  <c r="G374" i="4"/>
  <c r="F374" i="4"/>
  <c r="E374" i="4"/>
  <c r="D374" i="4"/>
  <c r="C374" i="4"/>
  <c r="B374" i="4"/>
  <c r="A374" i="4"/>
  <c r="M380" i="4"/>
  <c r="K380" i="4"/>
  <c r="J380" i="4"/>
  <c r="I380" i="4"/>
  <c r="H380" i="4"/>
  <c r="G380" i="4"/>
  <c r="F380" i="4"/>
  <c r="E380" i="4"/>
  <c r="D380" i="4"/>
  <c r="C380" i="4"/>
  <c r="B380" i="4"/>
  <c r="A380" i="4"/>
  <c r="M83" i="4"/>
  <c r="C83" i="4"/>
  <c r="A83" i="4"/>
  <c r="B83" i="4"/>
  <c r="M324" i="4"/>
  <c r="K324" i="4"/>
  <c r="H324" i="4"/>
  <c r="G324" i="4"/>
  <c r="F324" i="4"/>
  <c r="D324" i="4"/>
  <c r="C324" i="4"/>
  <c r="E324" i="4"/>
  <c r="B324" i="4"/>
  <c r="A324" i="4"/>
  <c r="J324" i="4"/>
  <c r="I324" i="4"/>
  <c r="M348" i="4"/>
  <c r="K348" i="4"/>
  <c r="I348" i="4"/>
  <c r="H348" i="4"/>
  <c r="G348" i="4"/>
  <c r="F348" i="4"/>
  <c r="D348" i="4"/>
  <c r="C348" i="4"/>
  <c r="J348" i="4"/>
  <c r="E348" i="4"/>
  <c r="B348" i="4"/>
  <c r="A348" i="4"/>
  <c r="F135" i="4"/>
  <c r="E135" i="4"/>
  <c r="D135" i="4"/>
  <c r="B135" i="4"/>
  <c r="G135" i="4"/>
  <c r="C135" i="4"/>
  <c r="A135" i="4"/>
  <c r="M135" i="4"/>
  <c r="K135" i="4"/>
  <c r="J135" i="4"/>
  <c r="I135" i="4"/>
  <c r="H135" i="4"/>
  <c r="K382" i="4"/>
  <c r="J382" i="4"/>
  <c r="I382" i="4"/>
  <c r="H382" i="4"/>
  <c r="G382" i="4"/>
  <c r="F382" i="4"/>
  <c r="E382" i="4"/>
  <c r="D382" i="4"/>
  <c r="C382" i="4"/>
  <c r="B382" i="4"/>
  <c r="A382" i="4"/>
  <c r="M382" i="4"/>
  <c r="B115" i="4"/>
  <c r="A115" i="4"/>
  <c r="K115" i="4"/>
  <c r="J115" i="4"/>
  <c r="I115" i="4"/>
  <c r="G115" i="4"/>
  <c r="D115" i="4"/>
  <c r="C115" i="4"/>
  <c r="M115" i="4"/>
  <c r="H115" i="4"/>
  <c r="F115" i="4"/>
  <c r="E115" i="4"/>
  <c r="M78" i="4"/>
  <c r="C78" i="4" s="1"/>
  <c r="B78" i="4"/>
  <c r="A78" i="4"/>
  <c r="D140" i="4"/>
  <c r="M140" i="4"/>
  <c r="J140" i="4"/>
  <c r="C140" i="4"/>
  <c r="B140" i="4"/>
  <c r="A140" i="4"/>
  <c r="F140" i="4"/>
  <c r="E140" i="4"/>
  <c r="H140" i="4"/>
  <c r="G140" i="4"/>
  <c r="K140" i="4"/>
  <c r="I140" i="4"/>
  <c r="J101" i="4"/>
  <c r="I101" i="4"/>
  <c r="H101" i="4"/>
  <c r="F101" i="4"/>
  <c r="B101" i="4"/>
  <c r="A101" i="4"/>
  <c r="M101" i="4"/>
  <c r="K101" i="4"/>
  <c r="G101" i="4"/>
  <c r="E101" i="4"/>
  <c r="D101" i="4"/>
  <c r="C101" i="4"/>
  <c r="M143" i="4"/>
  <c r="K143" i="4"/>
  <c r="J143" i="4"/>
  <c r="I143" i="4"/>
  <c r="H143" i="4"/>
  <c r="G143" i="4"/>
  <c r="F143" i="4"/>
  <c r="E143" i="4"/>
  <c r="D143" i="4"/>
  <c r="C143" i="4"/>
  <c r="B143" i="4"/>
  <c r="A143" i="4"/>
  <c r="B30" i="4"/>
  <c r="A30" i="4"/>
  <c r="M30" i="4"/>
  <c r="C30" i="4" s="1"/>
  <c r="M357" i="4"/>
  <c r="K357" i="4"/>
  <c r="J357" i="4"/>
  <c r="I357" i="4"/>
  <c r="G357" i="4"/>
  <c r="F357" i="4"/>
  <c r="B357" i="4"/>
  <c r="H357" i="4"/>
  <c r="E357" i="4"/>
  <c r="D357" i="4"/>
  <c r="C357" i="4"/>
  <c r="A357" i="4"/>
  <c r="A32" i="4"/>
  <c r="B32" i="4"/>
  <c r="M32" i="4"/>
  <c r="C32" i="4" s="1"/>
  <c r="E100" i="4"/>
  <c r="M100" i="4"/>
  <c r="A100" i="4"/>
  <c r="K100" i="4"/>
  <c r="J100" i="4"/>
  <c r="I100" i="4"/>
  <c r="C100" i="4"/>
  <c r="B100" i="4"/>
  <c r="D100" i="4"/>
  <c r="F100" i="4"/>
  <c r="H100" i="4"/>
  <c r="G100" i="4"/>
  <c r="M191" i="4"/>
  <c r="E191" i="4"/>
  <c r="D191" i="4"/>
  <c r="A191" i="4"/>
  <c r="H191" i="4"/>
  <c r="G191" i="4"/>
  <c r="F191" i="4"/>
  <c r="C191" i="4"/>
  <c r="B191" i="4"/>
  <c r="K191" i="4"/>
  <c r="J191" i="4"/>
  <c r="I191" i="4"/>
  <c r="B34" i="4"/>
  <c r="A34" i="4"/>
  <c r="M34" i="4"/>
  <c r="C34" i="4" s="1"/>
  <c r="M71" i="4"/>
  <c r="C71" i="4" s="1"/>
  <c r="B71" i="4"/>
  <c r="A71" i="4"/>
  <c r="B61" i="4"/>
  <c r="A61" i="4"/>
  <c r="M61" i="4"/>
  <c r="C61" i="4" s="1"/>
  <c r="D61" i="4" s="1"/>
  <c r="I61" i="4" s="1"/>
  <c r="A15" i="4"/>
  <c r="B15" i="4"/>
  <c r="M15" i="4"/>
  <c r="C15" i="4" s="1"/>
  <c r="B67" i="4"/>
  <c r="A67" i="4"/>
  <c r="M67" i="4"/>
  <c r="C67" i="4" s="1"/>
  <c r="M58" i="4"/>
  <c r="C58" i="4" s="1"/>
  <c r="D58" i="4" s="1"/>
  <c r="K58" i="4" s="1"/>
  <c r="B58" i="4"/>
  <c r="A58" i="4"/>
  <c r="B36" i="4"/>
  <c r="A36" i="4"/>
  <c r="M36" i="4"/>
  <c r="C36" i="4" s="1"/>
  <c r="H208" i="4"/>
  <c r="A208" i="4"/>
  <c r="M208" i="4"/>
  <c r="K208" i="4"/>
  <c r="J208" i="4"/>
  <c r="I208" i="4"/>
  <c r="G208" i="4"/>
  <c r="F208" i="4"/>
  <c r="E208" i="4"/>
  <c r="D208" i="4"/>
  <c r="C208" i="4"/>
  <c r="B208" i="4"/>
  <c r="I360" i="4"/>
  <c r="H360" i="4"/>
  <c r="G360" i="4"/>
  <c r="F360" i="4"/>
  <c r="E360" i="4"/>
  <c r="D360" i="4"/>
  <c r="C360" i="4"/>
  <c r="B360" i="4"/>
  <c r="A360" i="4"/>
  <c r="K360" i="4"/>
  <c r="M360" i="4"/>
  <c r="J360" i="4"/>
  <c r="M216" i="4"/>
  <c r="H216" i="4"/>
  <c r="G216" i="4"/>
  <c r="F216" i="4"/>
  <c r="D216" i="4"/>
  <c r="A216" i="4"/>
  <c r="K216" i="4"/>
  <c r="J216" i="4"/>
  <c r="I216" i="4"/>
  <c r="E216" i="4"/>
  <c r="C216" i="4"/>
  <c r="B216" i="4"/>
  <c r="K181" i="4"/>
  <c r="J181" i="4"/>
  <c r="M181" i="4"/>
  <c r="G181" i="4"/>
  <c r="F181" i="4"/>
  <c r="E181" i="4"/>
  <c r="D181" i="4"/>
  <c r="C181" i="4"/>
  <c r="B181" i="4"/>
  <c r="A181" i="4"/>
  <c r="H181" i="4"/>
  <c r="I181" i="4"/>
  <c r="D188" i="4"/>
  <c r="M188" i="4"/>
  <c r="K188" i="4"/>
  <c r="I188" i="4"/>
  <c r="E188" i="4"/>
  <c r="C188" i="4"/>
  <c r="B188" i="4"/>
  <c r="G188" i="4"/>
  <c r="F188" i="4"/>
  <c r="A188" i="4"/>
  <c r="J188" i="4"/>
  <c r="H188" i="4"/>
  <c r="D257" i="4"/>
  <c r="K257" i="4"/>
  <c r="M257" i="4"/>
  <c r="J257" i="4"/>
  <c r="I257" i="4"/>
  <c r="H257" i="4"/>
  <c r="G257" i="4"/>
  <c r="E257" i="4"/>
  <c r="C257" i="4"/>
  <c r="A257" i="4"/>
  <c r="F257" i="4"/>
  <c r="B257" i="4"/>
  <c r="H253" i="4"/>
  <c r="M253" i="4"/>
  <c r="J253" i="4"/>
  <c r="G253" i="4"/>
  <c r="E253" i="4"/>
  <c r="D253" i="4"/>
  <c r="C253" i="4"/>
  <c r="B253" i="4"/>
  <c r="K253" i="4"/>
  <c r="I253" i="4"/>
  <c r="A253" i="4"/>
  <c r="F253" i="4"/>
  <c r="E340" i="4"/>
  <c r="D340" i="4"/>
  <c r="C340" i="4"/>
  <c r="B340" i="4"/>
  <c r="A340" i="4"/>
  <c r="K340" i="4"/>
  <c r="G340" i="4"/>
  <c r="M340" i="4"/>
  <c r="J340" i="4"/>
  <c r="I340" i="4"/>
  <c r="H340" i="4"/>
  <c r="F340" i="4"/>
  <c r="M394" i="4"/>
  <c r="K394" i="4"/>
  <c r="J394" i="4"/>
  <c r="I394" i="4"/>
  <c r="H394" i="4"/>
  <c r="G394" i="4"/>
  <c r="F394" i="4"/>
  <c r="E394" i="4"/>
  <c r="D394" i="4"/>
  <c r="A394" i="4"/>
  <c r="C394" i="4"/>
  <c r="B394" i="4"/>
  <c r="M398" i="4"/>
  <c r="K398" i="4"/>
  <c r="J398" i="4"/>
  <c r="I398" i="4"/>
  <c r="H398" i="4"/>
  <c r="G398" i="4"/>
  <c r="F398" i="4"/>
  <c r="E398" i="4"/>
  <c r="D398" i="4"/>
  <c r="C398" i="4"/>
  <c r="B398" i="4"/>
  <c r="A398" i="4"/>
  <c r="M404" i="4"/>
  <c r="K404" i="4"/>
  <c r="J404" i="4"/>
  <c r="I404" i="4"/>
  <c r="H404" i="4"/>
  <c r="G404" i="4"/>
  <c r="F404" i="4"/>
  <c r="E404" i="4"/>
  <c r="D404" i="4"/>
  <c r="C404" i="4"/>
  <c r="B404" i="4"/>
  <c r="A404" i="4"/>
  <c r="M48" i="4"/>
  <c r="C48" i="4" s="1"/>
  <c r="A48" i="4"/>
  <c r="B48" i="4"/>
  <c r="M250" i="4"/>
  <c r="F250" i="4"/>
  <c r="K250" i="4"/>
  <c r="J250" i="4"/>
  <c r="I250" i="4"/>
  <c r="E250" i="4"/>
  <c r="D250" i="4"/>
  <c r="C250" i="4"/>
  <c r="A250" i="4"/>
  <c r="H250" i="4"/>
  <c r="G250" i="4"/>
  <c r="B250" i="4"/>
  <c r="J158" i="4"/>
  <c r="E158" i="4"/>
  <c r="D158" i="4"/>
  <c r="C158" i="4"/>
  <c r="A158" i="4"/>
  <c r="M158" i="4"/>
  <c r="F158" i="4"/>
  <c r="B158" i="4"/>
  <c r="H158" i="4"/>
  <c r="G158" i="4"/>
  <c r="K158" i="4"/>
  <c r="I158" i="4"/>
  <c r="B214" i="4"/>
  <c r="F214" i="4"/>
  <c r="E214" i="4"/>
  <c r="D214" i="4"/>
  <c r="A214" i="4"/>
  <c r="M214" i="4"/>
  <c r="K214" i="4"/>
  <c r="J214" i="4"/>
  <c r="I214" i="4"/>
  <c r="C214" i="4"/>
  <c r="H214" i="4"/>
  <c r="G214" i="4"/>
  <c r="F351" i="4"/>
  <c r="E351" i="4"/>
  <c r="D351" i="4"/>
  <c r="C351" i="4"/>
  <c r="B351" i="4"/>
  <c r="A351" i="4"/>
  <c r="M351" i="4"/>
  <c r="H351" i="4"/>
  <c r="K351" i="4"/>
  <c r="J351" i="4"/>
  <c r="I351" i="4"/>
  <c r="G351" i="4"/>
  <c r="H200" i="4"/>
  <c r="G200" i="4"/>
  <c r="M200" i="4"/>
  <c r="K200" i="4"/>
  <c r="J200" i="4"/>
  <c r="I200" i="4"/>
  <c r="F200" i="4"/>
  <c r="E200" i="4"/>
  <c r="D200" i="4"/>
  <c r="C200" i="4"/>
  <c r="A200" i="4"/>
  <c r="B200" i="4"/>
  <c r="B19" i="4"/>
  <c r="M19" i="4"/>
  <c r="C19" i="4" s="1"/>
  <c r="A19" i="4"/>
  <c r="K94" i="4"/>
  <c r="A94" i="4"/>
  <c r="D94" i="4"/>
  <c r="C94" i="4"/>
  <c r="B94" i="4"/>
  <c r="M94" i="4"/>
  <c r="F94" i="4"/>
  <c r="E94" i="4"/>
  <c r="J94" i="4"/>
  <c r="I94" i="4"/>
  <c r="H94" i="4"/>
  <c r="G94" i="4"/>
  <c r="B38" i="4"/>
  <c r="A38" i="4"/>
  <c r="M38" i="4"/>
  <c r="C38" i="4" s="1"/>
  <c r="J230" i="4"/>
  <c r="I230" i="4"/>
  <c r="H230" i="4"/>
  <c r="F230" i="4"/>
  <c r="D230" i="4"/>
  <c r="B230" i="4"/>
  <c r="A230" i="4"/>
  <c r="M230" i="4"/>
  <c r="K230" i="4"/>
  <c r="G230" i="4"/>
  <c r="E230" i="4"/>
  <c r="C230" i="4"/>
  <c r="K209" i="4"/>
  <c r="J209" i="4"/>
  <c r="M209" i="4"/>
  <c r="I209" i="4"/>
  <c r="F209" i="4"/>
  <c r="E209" i="4"/>
  <c r="D209" i="4"/>
  <c r="C209" i="4"/>
  <c r="H209" i="4"/>
  <c r="G209" i="4"/>
  <c r="B209" i="4"/>
  <c r="A209" i="4"/>
  <c r="A227" i="4"/>
  <c r="M227" i="4"/>
  <c r="K227" i="4"/>
  <c r="J227" i="4"/>
  <c r="I227" i="4"/>
  <c r="H227" i="4"/>
  <c r="G227" i="4"/>
  <c r="F227" i="4"/>
  <c r="E227" i="4"/>
  <c r="D227" i="4"/>
  <c r="C227" i="4"/>
  <c r="B227" i="4"/>
  <c r="J198" i="4"/>
  <c r="I198" i="4"/>
  <c r="M198" i="4"/>
  <c r="K198" i="4"/>
  <c r="H198" i="4"/>
  <c r="G198" i="4"/>
  <c r="F198" i="4"/>
  <c r="E198" i="4"/>
  <c r="D198" i="4"/>
  <c r="C198" i="4"/>
  <c r="B198" i="4"/>
  <c r="A198" i="4"/>
  <c r="M240" i="4"/>
  <c r="K240" i="4"/>
  <c r="I240" i="4"/>
  <c r="F240" i="4"/>
  <c r="E240" i="4"/>
  <c r="D240" i="4"/>
  <c r="C240" i="4"/>
  <c r="A240" i="4"/>
  <c r="J240" i="4"/>
  <c r="H240" i="4"/>
  <c r="G240" i="4"/>
  <c r="B240" i="4"/>
  <c r="I264" i="4"/>
  <c r="A264" i="4"/>
  <c r="M264" i="4"/>
  <c r="K264" i="4"/>
  <c r="J264" i="4"/>
  <c r="H264" i="4"/>
  <c r="G264" i="4"/>
  <c r="E264" i="4"/>
  <c r="D264" i="4"/>
  <c r="C264" i="4"/>
  <c r="B264" i="4"/>
  <c r="F264" i="4"/>
  <c r="M260" i="4"/>
  <c r="E260" i="4"/>
  <c r="D260" i="4"/>
  <c r="C260" i="4"/>
  <c r="J260" i="4"/>
  <c r="H260" i="4"/>
  <c r="F260" i="4"/>
  <c r="B260" i="4"/>
  <c r="A260" i="4"/>
  <c r="K260" i="4"/>
  <c r="I260" i="4"/>
  <c r="G260" i="4"/>
  <c r="E364" i="4"/>
  <c r="D364" i="4"/>
  <c r="C364" i="4"/>
  <c r="B364" i="4"/>
  <c r="A364" i="4"/>
  <c r="K364" i="4"/>
  <c r="G364" i="4"/>
  <c r="M364" i="4"/>
  <c r="J364" i="4"/>
  <c r="I364" i="4"/>
  <c r="H364" i="4"/>
  <c r="F364" i="4"/>
  <c r="M263" i="4"/>
  <c r="E263" i="4"/>
  <c r="F263" i="4"/>
  <c r="D263" i="4"/>
  <c r="C263" i="4"/>
  <c r="A263" i="4"/>
  <c r="J263" i="4"/>
  <c r="I263" i="4"/>
  <c r="K263" i="4"/>
  <c r="H263" i="4"/>
  <c r="G263" i="4"/>
  <c r="B263" i="4"/>
  <c r="J291" i="4"/>
  <c r="I291" i="4"/>
  <c r="H291" i="4"/>
  <c r="A291" i="4"/>
  <c r="E291" i="4"/>
  <c r="D291" i="4"/>
  <c r="C291" i="4"/>
  <c r="B291" i="4"/>
  <c r="M291" i="4"/>
  <c r="K291" i="4"/>
  <c r="G291" i="4"/>
  <c r="F291" i="4"/>
  <c r="D249" i="4"/>
  <c r="C249" i="4"/>
  <c r="B249" i="4"/>
  <c r="G249" i="4"/>
  <c r="F249" i="4"/>
  <c r="E249" i="4"/>
  <c r="M249" i="4"/>
  <c r="J249" i="4"/>
  <c r="I249" i="4"/>
  <c r="H249" i="4"/>
  <c r="A249" i="4"/>
  <c r="K249" i="4"/>
  <c r="G176" i="4"/>
  <c r="E176" i="4"/>
  <c r="D176" i="4"/>
  <c r="C176" i="4"/>
  <c r="A176" i="4"/>
  <c r="J176" i="4"/>
  <c r="I176" i="4"/>
  <c r="H176" i="4"/>
  <c r="F176" i="4"/>
  <c r="B176" i="4"/>
  <c r="M176" i="4"/>
  <c r="K176" i="4"/>
  <c r="I280" i="4"/>
  <c r="H280" i="4"/>
  <c r="G280" i="4"/>
  <c r="E280" i="4"/>
  <c r="D280" i="4"/>
  <c r="C280" i="4"/>
  <c r="A280" i="4"/>
  <c r="K280" i="4"/>
  <c r="J280" i="4"/>
  <c r="F280" i="4"/>
  <c r="B280" i="4"/>
  <c r="M280" i="4"/>
  <c r="M53" i="4"/>
  <c r="C53" i="4" s="1"/>
  <c r="B53" i="4"/>
  <c r="A53" i="4"/>
  <c r="B28" i="4"/>
  <c r="A28" i="4"/>
  <c r="M28" i="4"/>
  <c r="C28" i="4" s="1"/>
  <c r="I336" i="4"/>
  <c r="G336" i="4"/>
  <c r="F336" i="4"/>
  <c r="E336" i="4"/>
  <c r="C336" i="4"/>
  <c r="B336" i="4"/>
  <c r="A336" i="4"/>
  <c r="K336" i="4"/>
  <c r="D336" i="4"/>
  <c r="M336" i="4"/>
  <c r="J336" i="4"/>
  <c r="H336" i="4"/>
  <c r="M27" i="4"/>
  <c r="C27" i="4" s="1"/>
  <c r="A27" i="4"/>
  <c r="B27" i="4"/>
  <c r="B40" i="4"/>
  <c r="A40" i="4"/>
  <c r="M40" i="4"/>
  <c r="C40" i="4" s="1"/>
  <c r="B18" i="4"/>
  <c r="A18" i="4"/>
  <c r="M18" i="4"/>
  <c r="C18" i="4" s="1"/>
  <c r="M215" i="4"/>
  <c r="E215" i="4"/>
  <c r="D215" i="4"/>
  <c r="B215" i="4"/>
  <c r="K215" i="4"/>
  <c r="J215" i="4"/>
  <c r="I215" i="4"/>
  <c r="H215" i="4"/>
  <c r="G215" i="4"/>
  <c r="F215" i="4"/>
  <c r="C215" i="4"/>
  <c r="A215" i="4"/>
  <c r="M33" i="4"/>
  <c r="A33" i="4"/>
  <c r="C33" i="4"/>
  <c r="B33" i="4"/>
  <c r="F271" i="4"/>
  <c r="E271" i="4"/>
  <c r="D271" i="4"/>
  <c r="M271" i="4"/>
  <c r="K271" i="4"/>
  <c r="J271" i="4"/>
  <c r="I271" i="4"/>
  <c r="H271" i="4"/>
  <c r="G271" i="4"/>
  <c r="C271" i="4"/>
  <c r="A271" i="4"/>
  <c r="B271" i="4"/>
  <c r="D281" i="4"/>
  <c r="K281" i="4"/>
  <c r="M281" i="4"/>
  <c r="I281" i="4"/>
  <c r="G281" i="4"/>
  <c r="E281" i="4"/>
  <c r="C281" i="4"/>
  <c r="B281" i="4"/>
  <c r="A281" i="4"/>
  <c r="F281" i="4"/>
  <c r="J281" i="4"/>
  <c r="H281" i="4"/>
  <c r="E388" i="4"/>
  <c r="D388" i="4"/>
  <c r="C388" i="4"/>
  <c r="B388" i="4"/>
  <c r="A388" i="4"/>
  <c r="M388" i="4"/>
  <c r="K388" i="4"/>
  <c r="J388" i="4"/>
  <c r="G388" i="4"/>
  <c r="I388" i="4"/>
  <c r="H388" i="4"/>
  <c r="F388" i="4"/>
  <c r="M287" i="4"/>
  <c r="E287" i="4"/>
  <c r="J287" i="4"/>
  <c r="I287" i="4"/>
  <c r="H287" i="4"/>
  <c r="G287" i="4"/>
  <c r="D287" i="4"/>
  <c r="C287" i="4"/>
  <c r="B287" i="4"/>
  <c r="A287" i="4"/>
  <c r="K287" i="4"/>
  <c r="F287" i="4"/>
  <c r="K315" i="4"/>
  <c r="J315" i="4"/>
  <c r="I315" i="4"/>
  <c r="H315" i="4"/>
  <c r="E315" i="4"/>
  <c r="D315" i="4"/>
  <c r="C315" i="4"/>
  <c r="A315" i="4"/>
  <c r="M315" i="4"/>
  <c r="G315" i="4"/>
  <c r="F315" i="4"/>
  <c r="B315" i="4"/>
  <c r="D273" i="4"/>
  <c r="C273" i="4"/>
  <c r="B273" i="4"/>
  <c r="A273" i="4"/>
  <c r="J273" i="4"/>
  <c r="I273" i="4"/>
  <c r="H273" i="4"/>
  <c r="G273" i="4"/>
  <c r="F273" i="4"/>
  <c r="E273" i="4"/>
  <c r="M273" i="4"/>
  <c r="K273" i="4"/>
  <c r="G197" i="4"/>
  <c r="F197" i="4"/>
  <c r="E197" i="4"/>
  <c r="D197" i="4"/>
  <c r="B197" i="4"/>
  <c r="K197" i="4"/>
  <c r="J197" i="4"/>
  <c r="I197" i="4"/>
  <c r="H197" i="4"/>
  <c r="C197" i="4"/>
  <c r="M197" i="4"/>
  <c r="A197" i="4"/>
  <c r="C270" i="4"/>
  <c r="J270" i="4"/>
  <c r="F270" i="4"/>
  <c r="E270" i="4"/>
  <c r="D270" i="4"/>
  <c r="A270" i="4"/>
  <c r="M270" i="4"/>
  <c r="K270" i="4"/>
  <c r="I270" i="4"/>
  <c r="H270" i="4"/>
  <c r="G270" i="4"/>
  <c r="B270" i="4"/>
  <c r="B84" i="4"/>
  <c r="M84" i="4"/>
  <c r="C84" i="4" s="1"/>
  <c r="A84" i="4"/>
  <c r="K262" i="4"/>
  <c r="C262" i="4"/>
  <c r="B262" i="4"/>
  <c r="A262" i="4"/>
  <c r="I262" i="4"/>
  <c r="H262" i="4"/>
  <c r="G262" i="4"/>
  <c r="F262" i="4"/>
  <c r="M262" i="4"/>
  <c r="J262" i="4"/>
  <c r="E262" i="4"/>
  <c r="D262" i="4"/>
  <c r="I150" i="4"/>
  <c r="H150" i="4"/>
  <c r="G150" i="4"/>
  <c r="E150" i="4"/>
  <c r="A150" i="4"/>
  <c r="M150" i="4"/>
  <c r="K150" i="4"/>
  <c r="J150" i="4"/>
  <c r="F150" i="4"/>
  <c r="D150" i="4"/>
  <c r="C150" i="4"/>
  <c r="B150" i="4"/>
  <c r="J224" i="4"/>
  <c r="H224" i="4"/>
  <c r="G224" i="4"/>
  <c r="F224" i="4"/>
  <c r="E224" i="4"/>
  <c r="D224" i="4"/>
  <c r="C224" i="4"/>
  <c r="B224" i="4"/>
  <c r="A224" i="4"/>
  <c r="M224" i="4"/>
  <c r="I224" i="4"/>
  <c r="K224" i="4"/>
  <c r="F165" i="4"/>
  <c r="M165" i="4"/>
  <c r="I165" i="4"/>
  <c r="H165" i="4"/>
  <c r="E165" i="4"/>
  <c r="D165" i="4"/>
  <c r="C165" i="4"/>
  <c r="B165" i="4"/>
  <c r="A165" i="4"/>
  <c r="K165" i="4"/>
  <c r="J165" i="4"/>
  <c r="G165" i="4"/>
  <c r="A76" i="4"/>
  <c r="M76" i="4"/>
  <c r="C76" i="4" s="1"/>
  <c r="B76" i="4"/>
  <c r="I103" i="4"/>
  <c r="H103" i="4"/>
  <c r="G103" i="4"/>
  <c r="E103" i="4"/>
  <c r="B103" i="4"/>
  <c r="A103" i="4"/>
  <c r="M103" i="4"/>
  <c r="C103" i="4"/>
  <c r="J103" i="4"/>
  <c r="K103" i="4"/>
  <c r="F103" i="4"/>
  <c r="D103" i="4"/>
  <c r="C126" i="4"/>
  <c r="B126" i="4"/>
  <c r="A126" i="4"/>
  <c r="H126" i="4"/>
  <c r="G126" i="4"/>
  <c r="F126" i="4"/>
  <c r="D126" i="4"/>
  <c r="I126" i="4"/>
  <c r="E126" i="4"/>
  <c r="M126" i="4"/>
  <c r="K126" i="4"/>
  <c r="J126" i="4"/>
  <c r="M62" i="4"/>
  <c r="C62" i="4" s="1"/>
  <c r="B62" i="4"/>
  <c r="A62" i="4"/>
  <c r="M10" i="4"/>
  <c r="C10" i="4" s="1"/>
  <c r="B10" i="4"/>
  <c r="A10" i="4"/>
  <c r="A42" i="4"/>
  <c r="B42" i="4"/>
  <c r="M42" i="4"/>
  <c r="C42" i="4" s="1"/>
  <c r="C102" i="4"/>
  <c r="M102" i="4"/>
  <c r="K102" i="4"/>
  <c r="I102" i="4"/>
  <c r="H102" i="4"/>
  <c r="G102" i="4"/>
  <c r="F102" i="4"/>
  <c r="E102" i="4"/>
  <c r="D102" i="4"/>
  <c r="B102" i="4"/>
  <c r="A102" i="4"/>
  <c r="J102" i="4"/>
  <c r="I219" i="4"/>
  <c r="H219" i="4"/>
  <c r="A219" i="4"/>
  <c r="B219" i="4"/>
  <c r="M219" i="4"/>
  <c r="K219" i="4"/>
  <c r="J219" i="4"/>
  <c r="G219" i="4"/>
  <c r="F219" i="4"/>
  <c r="E219" i="4"/>
  <c r="D219" i="4"/>
  <c r="C219" i="4"/>
  <c r="M45" i="4"/>
  <c r="C45" i="4" s="1"/>
  <c r="B45" i="4"/>
  <c r="A45" i="4"/>
  <c r="G282" i="4"/>
  <c r="F282" i="4"/>
  <c r="E282" i="4"/>
  <c r="A282" i="4"/>
  <c r="M282" i="4"/>
  <c r="K282" i="4"/>
  <c r="J282" i="4"/>
  <c r="H282" i="4"/>
  <c r="D282" i="4"/>
  <c r="C282" i="4"/>
  <c r="I282" i="4"/>
  <c r="B282" i="4"/>
  <c r="A57" i="4"/>
  <c r="M57" i="4"/>
  <c r="C57" i="4" s="1"/>
  <c r="B57" i="4"/>
  <c r="K310" i="4"/>
  <c r="I310" i="4"/>
  <c r="H310" i="4"/>
  <c r="E310" i="4"/>
  <c r="D310" i="4"/>
  <c r="C310" i="4"/>
  <c r="B310" i="4"/>
  <c r="A310" i="4"/>
  <c r="M310" i="4"/>
  <c r="J310" i="4"/>
  <c r="G310" i="4"/>
  <c r="F310" i="4"/>
  <c r="I288" i="4"/>
  <c r="A288" i="4"/>
  <c r="M288" i="4"/>
  <c r="J288" i="4"/>
  <c r="G288" i="4"/>
  <c r="E288" i="4"/>
  <c r="D288" i="4"/>
  <c r="C288" i="4"/>
  <c r="B288" i="4"/>
  <c r="K288" i="4"/>
  <c r="H288" i="4"/>
  <c r="F288" i="4"/>
  <c r="D377" i="4"/>
  <c r="C377" i="4"/>
  <c r="B377" i="4"/>
  <c r="A377" i="4"/>
  <c r="M377" i="4"/>
  <c r="K377" i="4"/>
  <c r="J377" i="4"/>
  <c r="F377" i="4"/>
  <c r="G377" i="4"/>
  <c r="E377" i="4"/>
  <c r="I377" i="4"/>
  <c r="H377" i="4"/>
  <c r="M311" i="4"/>
  <c r="I311" i="4"/>
  <c r="H311" i="4"/>
  <c r="G311" i="4"/>
  <c r="E311" i="4"/>
  <c r="K311" i="4"/>
  <c r="J311" i="4"/>
  <c r="F311" i="4"/>
  <c r="D311" i="4"/>
  <c r="B311" i="4"/>
  <c r="C311" i="4"/>
  <c r="A311" i="4"/>
  <c r="M339" i="4"/>
  <c r="K339" i="4"/>
  <c r="J339" i="4"/>
  <c r="I339" i="4"/>
  <c r="H339" i="4"/>
  <c r="F339" i="4"/>
  <c r="E339" i="4"/>
  <c r="D339" i="4"/>
  <c r="C339" i="4"/>
  <c r="A339" i="4"/>
  <c r="G339" i="4"/>
  <c r="B339" i="4"/>
  <c r="J297" i="4"/>
  <c r="I297" i="4"/>
  <c r="F297" i="4"/>
  <c r="E297" i="4"/>
  <c r="D297" i="4"/>
  <c r="C297" i="4"/>
  <c r="B297" i="4"/>
  <c r="G297" i="4"/>
  <c r="A297" i="4"/>
  <c r="M297" i="4"/>
  <c r="K297" i="4"/>
  <c r="H297" i="4"/>
  <c r="M50" i="4"/>
  <c r="C50" i="4" s="1"/>
  <c r="A50" i="4"/>
  <c r="B50" i="4"/>
  <c r="M237" i="4"/>
  <c r="K237" i="4"/>
  <c r="I237" i="4"/>
  <c r="G237" i="4"/>
  <c r="F237" i="4"/>
  <c r="E237" i="4"/>
  <c r="D237" i="4"/>
  <c r="C237" i="4"/>
  <c r="B237" i="4"/>
  <c r="A237" i="4"/>
  <c r="J237" i="4"/>
  <c r="H237" i="4"/>
  <c r="C225" i="4"/>
  <c r="B225" i="4"/>
  <c r="K225" i="4"/>
  <c r="J225" i="4"/>
  <c r="I225" i="4"/>
  <c r="H225" i="4"/>
  <c r="M225" i="4"/>
  <c r="G225" i="4"/>
  <c r="F225" i="4"/>
  <c r="E225" i="4"/>
  <c r="D225" i="4"/>
  <c r="A225" i="4"/>
  <c r="M87" i="4"/>
  <c r="C87" i="4" s="1"/>
  <c r="B87" i="4"/>
  <c r="A87" i="4"/>
  <c r="G122" i="4"/>
  <c r="F122" i="4"/>
  <c r="E122" i="4"/>
  <c r="A122" i="4"/>
  <c r="I122" i="4"/>
  <c r="H122" i="4"/>
  <c r="D122" i="4"/>
  <c r="C122" i="4"/>
  <c r="B122" i="4"/>
  <c r="K122" i="4"/>
  <c r="J122" i="4"/>
  <c r="M122" i="4"/>
  <c r="M31" i="4"/>
  <c r="C31" i="4" s="1"/>
  <c r="A31" i="4"/>
  <c r="B31" i="4"/>
  <c r="H277" i="4"/>
  <c r="F277" i="4"/>
  <c r="E277" i="4"/>
  <c r="D277" i="4"/>
  <c r="B277" i="4"/>
  <c r="M277" i="4"/>
  <c r="K277" i="4"/>
  <c r="J277" i="4"/>
  <c r="I277" i="4"/>
  <c r="G277" i="4"/>
  <c r="C277" i="4"/>
  <c r="A277" i="4"/>
  <c r="M89" i="4"/>
  <c r="C89" i="4" s="1"/>
  <c r="B89" i="4"/>
  <c r="A89" i="4"/>
  <c r="A72" i="4"/>
  <c r="M72" i="4"/>
  <c r="C72" i="4" s="1"/>
  <c r="B72" i="4"/>
  <c r="I312" i="4"/>
  <c r="G312" i="4"/>
  <c r="F312" i="4"/>
  <c r="C312" i="4"/>
  <c r="B312" i="4"/>
  <c r="A312" i="4"/>
  <c r="D312" i="4"/>
  <c r="M312" i="4"/>
  <c r="K312" i="4"/>
  <c r="J312" i="4"/>
  <c r="H312" i="4"/>
  <c r="E312" i="4"/>
  <c r="M81" i="4"/>
  <c r="C81" i="4"/>
  <c r="D81" i="4" s="1"/>
  <c r="J81" i="4" s="1"/>
  <c r="B81" i="4"/>
  <c r="A81" i="4"/>
  <c r="H325" i="4"/>
  <c r="F325" i="4"/>
  <c r="E325" i="4"/>
  <c r="B325" i="4"/>
  <c r="A325" i="4"/>
  <c r="M325" i="4"/>
  <c r="K325" i="4"/>
  <c r="J325" i="4"/>
  <c r="G325" i="4"/>
  <c r="D325" i="4"/>
  <c r="C325" i="4"/>
  <c r="I325" i="4"/>
  <c r="M293" i="4"/>
  <c r="J293" i="4"/>
  <c r="H293" i="4"/>
  <c r="G293" i="4"/>
  <c r="F293" i="4"/>
  <c r="B293" i="4"/>
  <c r="K293" i="4"/>
  <c r="I293" i="4"/>
  <c r="D293" i="4"/>
  <c r="A293" i="4"/>
  <c r="E293" i="4"/>
  <c r="C293" i="4"/>
  <c r="D401" i="4"/>
  <c r="C401" i="4"/>
  <c r="B401" i="4"/>
  <c r="A401" i="4"/>
  <c r="M401" i="4"/>
  <c r="K401" i="4"/>
  <c r="J401" i="4"/>
  <c r="I401" i="4"/>
  <c r="F401" i="4"/>
  <c r="H401" i="4"/>
  <c r="G401" i="4"/>
  <c r="E401" i="4"/>
  <c r="M335" i="4"/>
  <c r="J335" i="4"/>
  <c r="I335" i="4"/>
  <c r="H335" i="4"/>
  <c r="G335" i="4"/>
  <c r="E335" i="4"/>
  <c r="D335" i="4"/>
  <c r="K335" i="4"/>
  <c r="F335" i="4"/>
  <c r="C335" i="4"/>
  <c r="B335" i="4"/>
  <c r="A335" i="4"/>
  <c r="M363" i="4"/>
  <c r="K363" i="4"/>
  <c r="J363" i="4"/>
  <c r="I363" i="4"/>
  <c r="H363" i="4"/>
  <c r="G363" i="4"/>
  <c r="F363" i="4"/>
  <c r="E363" i="4"/>
  <c r="D363" i="4"/>
  <c r="C363" i="4"/>
  <c r="A363" i="4"/>
  <c r="B363" i="4"/>
  <c r="J321" i="4"/>
  <c r="I321" i="4"/>
  <c r="F321" i="4"/>
  <c r="E321" i="4"/>
  <c r="D321" i="4"/>
  <c r="C321" i="4"/>
  <c r="B321" i="4"/>
  <c r="M321" i="4"/>
  <c r="K321" i="4"/>
  <c r="G321" i="4"/>
  <c r="A321" i="4"/>
  <c r="H321" i="4"/>
  <c r="M66" i="4"/>
  <c r="C66" i="4" s="1"/>
  <c r="A66" i="4"/>
  <c r="B66" i="4"/>
  <c r="M93" i="4"/>
  <c r="J93" i="4"/>
  <c r="F93" i="4"/>
  <c r="E93" i="4"/>
  <c r="D93" i="4"/>
  <c r="C93" i="4"/>
  <c r="K93" i="4"/>
  <c r="I93" i="4"/>
  <c r="H93" i="4"/>
  <c r="G93" i="4"/>
  <c r="B93" i="4"/>
  <c r="A93" i="4"/>
  <c r="K145" i="4"/>
  <c r="M145" i="4"/>
  <c r="A145" i="4"/>
  <c r="J145" i="4"/>
  <c r="I145" i="4"/>
  <c r="H145" i="4"/>
  <c r="C145" i="4"/>
  <c r="B145" i="4"/>
  <c r="F145" i="4"/>
  <c r="G145" i="4"/>
  <c r="E145" i="4"/>
  <c r="D145" i="4"/>
  <c r="M13" i="4"/>
  <c r="C13" i="4" s="1"/>
  <c r="B13" i="4"/>
  <c r="A13" i="4"/>
  <c r="K278" i="4"/>
  <c r="J278" i="4"/>
  <c r="I278" i="4"/>
  <c r="B278" i="4"/>
  <c r="M278" i="4"/>
  <c r="H278" i="4"/>
  <c r="G278" i="4"/>
  <c r="E278" i="4"/>
  <c r="D278" i="4"/>
  <c r="F278" i="4"/>
  <c r="C278" i="4"/>
  <c r="A278" i="4"/>
  <c r="I195" i="4"/>
  <c r="A195" i="4"/>
  <c r="E195" i="4"/>
  <c r="D195" i="4"/>
  <c r="C195" i="4"/>
  <c r="M195" i="4"/>
  <c r="J195" i="4"/>
  <c r="H195" i="4"/>
  <c r="G195" i="4"/>
  <c r="F195" i="4"/>
  <c r="B195" i="4"/>
  <c r="K195" i="4"/>
  <c r="M183" i="4"/>
  <c r="K183" i="4"/>
  <c r="J183" i="4"/>
  <c r="I183" i="4"/>
  <c r="H183" i="4"/>
  <c r="G183" i="4"/>
  <c r="F183" i="4"/>
  <c r="E183" i="4"/>
  <c r="D183" i="4"/>
  <c r="C183" i="4"/>
  <c r="B183" i="4"/>
  <c r="A183" i="4"/>
  <c r="G213" i="4"/>
  <c r="F213" i="4"/>
  <c r="D213" i="4"/>
  <c r="K213" i="4"/>
  <c r="J213" i="4"/>
  <c r="I213" i="4"/>
  <c r="H213" i="4"/>
  <c r="E213" i="4"/>
  <c r="C213" i="4"/>
  <c r="B213" i="4"/>
  <c r="A213" i="4"/>
  <c r="M213" i="4"/>
  <c r="M233" i="4"/>
  <c r="K233" i="4"/>
  <c r="J233" i="4"/>
  <c r="I233" i="4"/>
  <c r="H233" i="4"/>
  <c r="A233" i="4"/>
  <c r="C233" i="4"/>
  <c r="E233" i="4"/>
  <c r="D233" i="4"/>
  <c r="B233" i="4"/>
  <c r="G233" i="4"/>
  <c r="F233" i="4"/>
  <c r="M35" i="4"/>
  <c r="C35" i="4" s="1"/>
  <c r="A35" i="4"/>
  <c r="B35" i="4"/>
  <c r="M75" i="4"/>
  <c r="C75" i="4" s="1"/>
  <c r="D75" i="4" s="1"/>
  <c r="B75" i="4"/>
  <c r="A75" i="4"/>
  <c r="M77" i="4"/>
  <c r="C77" i="4" s="1"/>
  <c r="B77" i="4"/>
  <c r="A77" i="4"/>
  <c r="G98" i="4"/>
  <c r="M98" i="4"/>
  <c r="K98" i="4"/>
  <c r="J98" i="4"/>
  <c r="I98" i="4"/>
  <c r="H98" i="4"/>
  <c r="F98" i="4"/>
  <c r="E98" i="4"/>
  <c r="D98" i="4"/>
  <c r="C98" i="4"/>
  <c r="B98" i="4"/>
  <c r="A98" i="4"/>
  <c r="B9" i="4"/>
  <c r="A9" i="4"/>
  <c r="M9" i="4"/>
  <c r="C9" i="4" s="1"/>
  <c r="G173" i="4"/>
  <c r="J173" i="4"/>
  <c r="I173" i="4"/>
  <c r="H173" i="4"/>
  <c r="K173" i="4"/>
  <c r="F173" i="4"/>
  <c r="E173" i="4"/>
  <c r="D173" i="4"/>
  <c r="C173" i="4"/>
  <c r="M173" i="4"/>
  <c r="B173" i="4"/>
  <c r="A173" i="4"/>
  <c r="I96" i="4"/>
  <c r="K96" i="4"/>
  <c r="J96" i="4"/>
  <c r="H96" i="4"/>
  <c r="G96" i="4"/>
  <c r="F96" i="4"/>
  <c r="E96" i="4"/>
  <c r="D96" i="4"/>
  <c r="C96" i="4"/>
  <c r="B96" i="4"/>
  <c r="A96" i="4"/>
  <c r="M96" i="4"/>
  <c r="A104" i="4"/>
  <c r="M104" i="4"/>
  <c r="K104" i="4"/>
  <c r="J104" i="4"/>
  <c r="I104" i="4"/>
  <c r="H104" i="4"/>
  <c r="G104" i="4"/>
  <c r="F104" i="4"/>
  <c r="E104" i="4"/>
  <c r="D104" i="4"/>
  <c r="C104" i="4"/>
  <c r="B104" i="4"/>
  <c r="I134" i="4"/>
  <c r="H134" i="4"/>
  <c r="G134" i="4"/>
  <c r="F134" i="4"/>
  <c r="E134" i="4"/>
  <c r="M134" i="4"/>
  <c r="K134" i="4"/>
  <c r="J134" i="4"/>
  <c r="D134" i="4"/>
  <c r="C134" i="4"/>
  <c r="B134" i="4"/>
  <c r="A134" i="4"/>
  <c r="K97" i="4"/>
  <c r="J97" i="4"/>
  <c r="H97" i="4"/>
  <c r="D97" i="4"/>
  <c r="C97" i="4"/>
  <c r="B97" i="4"/>
  <c r="A97" i="4"/>
  <c r="E97" i="4"/>
  <c r="I97" i="4"/>
  <c r="M97" i="4"/>
  <c r="G97" i="4"/>
  <c r="F97" i="4"/>
  <c r="M332" i="4"/>
  <c r="K332" i="4"/>
  <c r="J332" i="4"/>
  <c r="G332" i="4"/>
  <c r="F332" i="4"/>
  <c r="E332" i="4"/>
  <c r="D332" i="4"/>
  <c r="C332" i="4"/>
  <c r="A332" i="4"/>
  <c r="I332" i="4"/>
  <c r="H332" i="4"/>
  <c r="B332" i="4"/>
  <c r="H105" i="4"/>
  <c r="G105" i="4"/>
  <c r="F105" i="4"/>
  <c r="D105" i="4"/>
  <c r="A105" i="4"/>
  <c r="M105" i="4"/>
  <c r="K105" i="4"/>
  <c r="J105" i="4"/>
  <c r="I105" i="4"/>
  <c r="E105" i="4"/>
  <c r="C105" i="4"/>
  <c r="B105" i="4"/>
  <c r="D329" i="4"/>
  <c r="B329" i="4"/>
  <c r="A329" i="4"/>
  <c r="M329" i="4"/>
  <c r="K329" i="4"/>
  <c r="J329" i="4"/>
  <c r="I329" i="4"/>
  <c r="H329" i="4"/>
  <c r="G329" i="4"/>
  <c r="F329" i="4"/>
  <c r="E329" i="4"/>
  <c r="C329" i="4"/>
  <c r="M239" i="4"/>
  <c r="K239" i="4"/>
  <c r="I239" i="4"/>
  <c r="G239" i="4"/>
  <c r="E239" i="4"/>
  <c r="D239" i="4"/>
  <c r="C239" i="4"/>
  <c r="B239" i="4"/>
  <c r="J239" i="4"/>
  <c r="H239" i="4"/>
  <c r="F239" i="4"/>
  <c r="A239" i="4"/>
  <c r="C294" i="4"/>
  <c r="M294" i="4"/>
  <c r="J294" i="4"/>
  <c r="B294" i="4"/>
  <c r="A294" i="4"/>
  <c r="K294" i="4"/>
  <c r="I294" i="4"/>
  <c r="H294" i="4"/>
  <c r="G294" i="4"/>
  <c r="F294" i="4"/>
  <c r="E294" i="4"/>
  <c r="D294" i="4"/>
  <c r="M359" i="4"/>
  <c r="K359" i="4"/>
  <c r="J359" i="4"/>
  <c r="I359" i="4"/>
  <c r="H359" i="4"/>
  <c r="G359" i="4"/>
  <c r="E359" i="4"/>
  <c r="D359" i="4"/>
  <c r="F359" i="4"/>
  <c r="C359" i="4"/>
  <c r="B359" i="4"/>
  <c r="A359" i="4"/>
  <c r="M387" i="4"/>
  <c r="K387" i="4"/>
  <c r="J387" i="4"/>
  <c r="I387" i="4"/>
  <c r="H387" i="4"/>
  <c r="G387" i="4"/>
  <c r="F387" i="4"/>
  <c r="E387" i="4"/>
  <c r="D387" i="4"/>
  <c r="C387" i="4"/>
  <c r="B387" i="4"/>
  <c r="A387" i="4"/>
  <c r="K345" i="4"/>
  <c r="J345" i="4"/>
  <c r="I345" i="4"/>
  <c r="H345" i="4"/>
  <c r="G345" i="4"/>
  <c r="F345" i="4"/>
  <c r="E345" i="4"/>
  <c r="D345" i="4"/>
  <c r="C345" i="4"/>
  <c r="B345" i="4"/>
  <c r="M345" i="4"/>
  <c r="A345" i="4"/>
  <c r="D236" i="4"/>
  <c r="C236" i="4"/>
  <c r="B236" i="4"/>
  <c r="M236" i="4"/>
  <c r="K236" i="4"/>
  <c r="J236" i="4"/>
  <c r="I236" i="4"/>
  <c r="H236" i="4"/>
  <c r="G236" i="4"/>
  <c r="F236" i="4"/>
  <c r="E236" i="4"/>
  <c r="A236" i="4"/>
  <c r="I171" i="4"/>
  <c r="J171" i="4"/>
  <c r="H171" i="4"/>
  <c r="G171" i="4"/>
  <c r="M171" i="4"/>
  <c r="K171" i="4"/>
  <c r="F171" i="4"/>
  <c r="E171" i="4"/>
  <c r="D171" i="4"/>
  <c r="C171" i="4"/>
  <c r="B171" i="4"/>
  <c r="A171" i="4"/>
  <c r="B7" i="4"/>
  <c r="A7" i="4"/>
  <c r="M7" i="4"/>
  <c r="C7" i="4" s="1"/>
  <c r="D164" i="4"/>
  <c r="E164" i="4"/>
  <c r="C164" i="4"/>
  <c r="B164" i="4"/>
  <c r="K164" i="4"/>
  <c r="J164" i="4"/>
  <c r="I164" i="4"/>
  <c r="H164" i="4"/>
  <c r="G164" i="4"/>
  <c r="F164" i="4"/>
  <c r="A164" i="4"/>
  <c r="M164" i="4"/>
  <c r="J206" i="4"/>
  <c r="B206" i="4"/>
  <c r="A206" i="4"/>
  <c r="M206" i="4"/>
  <c r="K206" i="4"/>
  <c r="I206" i="4"/>
  <c r="H206" i="4"/>
  <c r="G206" i="4"/>
  <c r="F206" i="4"/>
  <c r="E206" i="4"/>
  <c r="D206" i="4"/>
  <c r="C206" i="4"/>
  <c r="M391" i="4"/>
  <c r="K391" i="4"/>
  <c r="J391" i="4"/>
  <c r="I391" i="4"/>
  <c r="H391" i="4"/>
  <c r="G391" i="4"/>
  <c r="F391" i="4"/>
  <c r="E391" i="4"/>
  <c r="D391" i="4"/>
  <c r="C391" i="4"/>
  <c r="B391" i="4"/>
  <c r="A391" i="4"/>
  <c r="M8" i="4"/>
  <c r="C8" i="4" s="1"/>
  <c r="B8" i="4"/>
  <c r="A8" i="4"/>
  <c r="M37" i="4"/>
  <c r="C37" i="4" s="1"/>
  <c r="A37" i="4"/>
  <c r="B37" i="4"/>
  <c r="J157" i="4"/>
  <c r="I157" i="4"/>
  <c r="G157" i="4"/>
  <c r="F157" i="4"/>
  <c r="E157" i="4"/>
  <c r="C157" i="4"/>
  <c r="M157" i="4"/>
  <c r="K157" i="4"/>
  <c r="H157" i="4"/>
  <c r="D157" i="4"/>
  <c r="B157" i="4"/>
  <c r="A157" i="4"/>
  <c r="M44" i="4"/>
  <c r="C44" i="4" s="1"/>
  <c r="A44" i="4"/>
  <c r="B44" i="4"/>
  <c r="A179" i="4"/>
  <c r="K179" i="4"/>
  <c r="J179" i="4"/>
  <c r="I179" i="4"/>
  <c r="F179" i="4"/>
  <c r="E179" i="4"/>
  <c r="D179" i="4"/>
  <c r="C179" i="4"/>
  <c r="B179" i="4"/>
  <c r="M179" i="4"/>
  <c r="H179" i="4"/>
  <c r="G179" i="4"/>
  <c r="K117" i="4"/>
  <c r="J117" i="4"/>
  <c r="H117" i="4"/>
  <c r="E117" i="4"/>
  <c r="D117" i="4"/>
  <c r="C117" i="4"/>
  <c r="B117" i="4"/>
  <c r="A117" i="4"/>
  <c r="M117" i="4"/>
  <c r="I117" i="4"/>
  <c r="G117" i="4"/>
  <c r="F117" i="4"/>
  <c r="K129" i="4"/>
  <c r="J129" i="4"/>
  <c r="H129" i="4"/>
  <c r="E129" i="4"/>
  <c r="D129" i="4"/>
  <c r="C129" i="4"/>
  <c r="B129" i="4"/>
  <c r="A129" i="4"/>
  <c r="G129" i="4"/>
  <c r="F129" i="4"/>
  <c r="M129" i="4"/>
  <c r="I129" i="4"/>
  <c r="M346" i="4"/>
  <c r="K346" i="4"/>
  <c r="J346" i="4"/>
  <c r="I346" i="4"/>
  <c r="H346" i="4"/>
  <c r="F346" i="4"/>
  <c r="E346" i="4"/>
  <c r="A346" i="4"/>
  <c r="G346" i="4"/>
  <c r="D346" i="4"/>
  <c r="C346" i="4"/>
  <c r="B346" i="4"/>
  <c r="M274" i="4"/>
  <c r="F274" i="4"/>
  <c r="K274" i="4"/>
  <c r="I274" i="4"/>
  <c r="G274" i="4"/>
  <c r="D274" i="4"/>
  <c r="C274" i="4"/>
  <c r="B274" i="4"/>
  <c r="A274" i="4"/>
  <c r="J274" i="4"/>
  <c r="E274" i="4"/>
  <c r="H274" i="4"/>
  <c r="C318" i="4"/>
  <c r="A318" i="4"/>
  <c r="M318" i="4"/>
  <c r="J318" i="4"/>
  <c r="K318" i="4"/>
  <c r="I318" i="4"/>
  <c r="H318" i="4"/>
  <c r="G318" i="4"/>
  <c r="F318" i="4"/>
  <c r="E318" i="4"/>
  <c r="D318" i="4"/>
  <c r="B318" i="4"/>
  <c r="M383" i="4"/>
  <c r="K383" i="4"/>
  <c r="J383" i="4"/>
  <c r="I383" i="4"/>
  <c r="H383" i="4"/>
  <c r="G383" i="4"/>
  <c r="F383" i="4"/>
  <c r="E383" i="4"/>
  <c r="D383" i="4"/>
  <c r="C383" i="4"/>
  <c r="B383" i="4"/>
  <c r="A383" i="4"/>
  <c r="M352" i="4"/>
  <c r="K352" i="4"/>
  <c r="J352" i="4"/>
  <c r="I352" i="4"/>
  <c r="H352" i="4"/>
  <c r="G352" i="4"/>
  <c r="E352" i="4"/>
  <c r="D352" i="4"/>
  <c r="C352" i="4"/>
  <c r="B352" i="4"/>
  <c r="F352" i="4"/>
  <c r="A352" i="4"/>
  <c r="K369" i="4"/>
  <c r="J369" i="4"/>
  <c r="I369" i="4"/>
  <c r="H369" i="4"/>
  <c r="G369" i="4"/>
  <c r="F369" i="4"/>
  <c r="E369" i="4"/>
  <c r="D369" i="4"/>
  <c r="C369" i="4"/>
  <c r="B369" i="4"/>
  <c r="A369" i="4"/>
  <c r="M369" i="4"/>
  <c r="K254" i="4"/>
  <c r="J254" i="4"/>
  <c r="I254" i="4"/>
  <c r="B254" i="4"/>
  <c r="A254" i="4"/>
  <c r="F254" i="4"/>
  <c r="E254" i="4"/>
  <c r="D254" i="4"/>
  <c r="G254" i="4"/>
  <c r="M254" i="4"/>
  <c r="H254" i="4"/>
  <c r="C254" i="4"/>
  <c r="B307" i="4"/>
  <c r="M307" i="4"/>
  <c r="K307" i="4"/>
  <c r="I307" i="4"/>
  <c r="J307" i="4"/>
  <c r="H307" i="4"/>
  <c r="F307" i="4"/>
  <c r="D307" i="4"/>
  <c r="C307" i="4"/>
  <c r="A307" i="4"/>
  <c r="G307" i="4"/>
  <c r="E307" i="4"/>
  <c r="B331" i="4"/>
  <c r="M331" i="4"/>
  <c r="K331" i="4"/>
  <c r="I331" i="4"/>
  <c r="H331" i="4"/>
  <c r="F331" i="4"/>
  <c r="E331" i="4"/>
  <c r="D331" i="4"/>
  <c r="C331" i="4"/>
  <c r="A331" i="4"/>
  <c r="J331" i="4"/>
  <c r="G331" i="4"/>
  <c r="B355" i="4"/>
  <c r="A355" i="4"/>
  <c r="M355" i="4"/>
  <c r="K355" i="4"/>
  <c r="I355" i="4"/>
  <c r="H355" i="4"/>
  <c r="D355" i="4"/>
  <c r="J355" i="4"/>
  <c r="G355" i="4"/>
  <c r="F355" i="4"/>
  <c r="E355" i="4"/>
  <c r="C355" i="4"/>
  <c r="M49" i="4"/>
  <c r="B49" i="4"/>
  <c r="A49" i="4"/>
  <c r="C49" i="4"/>
  <c r="G189" i="4"/>
  <c r="F189" i="4"/>
  <c r="M189" i="4"/>
  <c r="K189" i="4"/>
  <c r="J189" i="4"/>
  <c r="A189" i="4"/>
  <c r="C189" i="4"/>
  <c r="B189" i="4"/>
  <c r="I189" i="4"/>
  <c r="H189" i="4"/>
  <c r="E189" i="4"/>
  <c r="D189" i="4"/>
  <c r="B85" i="4"/>
  <c r="A85" i="4"/>
  <c r="M85" i="4"/>
  <c r="C85" i="4" s="1"/>
  <c r="M226" i="4"/>
  <c r="J226" i="4"/>
  <c r="H226" i="4"/>
  <c r="F226" i="4"/>
  <c r="E226" i="4"/>
  <c r="D226" i="4"/>
  <c r="C226" i="4"/>
  <c r="K226" i="4"/>
  <c r="I226" i="4"/>
  <c r="G226" i="4"/>
  <c r="A226" i="4"/>
  <c r="B226" i="4"/>
  <c r="E151" i="4"/>
  <c r="M151" i="4"/>
  <c r="I151" i="4"/>
  <c r="H151" i="4"/>
  <c r="G151" i="4"/>
  <c r="F151" i="4"/>
  <c r="D151" i="4"/>
  <c r="C151" i="4"/>
  <c r="B151" i="4"/>
  <c r="K151" i="4"/>
  <c r="J151" i="4"/>
  <c r="A151" i="4"/>
  <c r="K185" i="4"/>
  <c r="J185" i="4"/>
  <c r="F185" i="4"/>
  <c r="E185" i="4"/>
  <c r="D185" i="4"/>
  <c r="C185" i="4"/>
  <c r="B185" i="4"/>
  <c r="A185" i="4"/>
  <c r="M185" i="4"/>
  <c r="I185" i="4"/>
  <c r="H185" i="4"/>
  <c r="G185" i="4"/>
  <c r="M326" i="4"/>
  <c r="K326" i="4"/>
  <c r="J326" i="4"/>
  <c r="I326" i="4"/>
  <c r="F326" i="4"/>
  <c r="E326" i="4"/>
  <c r="D326" i="4"/>
  <c r="B326" i="4"/>
  <c r="A326" i="4"/>
  <c r="H326" i="4"/>
  <c r="G326" i="4"/>
  <c r="C326" i="4"/>
  <c r="F210" i="4"/>
  <c r="B210" i="4"/>
  <c r="A210" i="4"/>
  <c r="H210" i="4"/>
  <c r="G210" i="4"/>
  <c r="E210" i="4"/>
  <c r="D210" i="4"/>
  <c r="C210" i="4"/>
  <c r="M210" i="4"/>
  <c r="K210" i="4"/>
  <c r="J210" i="4"/>
  <c r="I210" i="4"/>
  <c r="G258" i="4"/>
  <c r="F258" i="4"/>
  <c r="E258" i="4"/>
  <c r="K258" i="4"/>
  <c r="J258" i="4"/>
  <c r="I258" i="4"/>
  <c r="D258" i="4"/>
  <c r="B258" i="4"/>
  <c r="A258" i="4"/>
  <c r="M258" i="4"/>
  <c r="H258" i="4"/>
  <c r="C258" i="4"/>
  <c r="G221" i="4"/>
  <c r="F221" i="4"/>
  <c r="H221" i="4"/>
  <c r="E221" i="4"/>
  <c r="D221" i="4"/>
  <c r="B221" i="4"/>
  <c r="J221" i="4"/>
  <c r="I221" i="4"/>
  <c r="C221" i="4"/>
  <c r="A221" i="4"/>
  <c r="K221" i="4"/>
  <c r="M221" i="4"/>
  <c r="J148" i="4"/>
  <c r="I148" i="4"/>
  <c r="H148" i="4"/>
  <c r="F148" i="4"/>
  <c r="B148" i="4"/>
  <c r="A148" i="4"/>
  <c r="M148" i="4"/>
  <c r="K148" i="4"/>
  <c r="G148" i="4"/>
  <c r="E148" i="4"/>
  <c r="D148" i="4"/>
  <c r="C148" i="4"/>
  <c r="G149" i="4"/>
  <c r="M149" i="4"/>
  <c r="K149" i="4"/>
  <c r="J149" i="4"/>
  <c r="I149" i="4"/>
  <c r="F149" i="4"/>
  <c r="C149" i="4"/>
  <c r="B149" i="4"/>
  <c r="A149" i="4"/>
  <c r="E149" i="4"/>
  <c r="D149" i="4"/>
  <c r="H149" i="4"/>
  <c r="E124" i="4"/>
  <c r="D124" i="4"/>
  <c r="C124" i="4"/>
  <c r="A124" i="4"/>
  <c r="F124" i="4"/>
  <c r="B124" i="4"/>
  <c r="M124" i="4"/>
  <c r="K124" i="4"/>
  <c r="J124" i="4"/>
  <c r="I124" i="4"/>
  <c r="H124" i="4"/>
  <c r="G124" i="4"/>
  <c r="B88" i="4"/>
  <c r="A88" i="4"/>
  <c r="M88" i="4"/>
  <c r="C88" i="4" s="1"/>
  <c r="D88" i="4" s="1"/>
  <c r="J88" i="4" s="1"/>
  <c r="J131" i="4"/>
  <c r="I131" i="4"/>
  <c r="H131" i="4"/>
  <c r="F131" i="4"/>
  <c r="M131" i="4"/>
  <c r="K131" i="4"/>
  <c r="G131" i="4"/>
  <c r="E131" i="4"/>
  <c r="D131" i="4"/>
  <c r="C131" i="4"/>
  <c r="B131" i="4"/>
  <c r="A131" i="4"/>
  <c r="D212" i="4"/>
  <c r="C212" i="4"/>
  <c r="B212" i="4"/>
  <c r="A212" i="4"/>
  <c r="M212" i="4"/>
  <c r="K212" i="4"/>
  <c r="J212" i="4"/>
  <c r="I212" i="4"/>
  <c r="H212" i="4"/>
  <c r="G212" i="4"/>
  <c r="F212" i="4"/>
  <c r="E212" i="4"/>
  <c r="D137" i="4"/>
  <c r="C137" i="4"/>
  <c r="B137" i="4"/>
  <c r="I137" i="4"/>
  <c r="H137" i="4"/>
  <c r="G137" i="4"/>
  <c r="E137" i="4"/>
  <c r="M137" i="4"/>
  <c r="K137" i="4"/>
  <c r="F137" i="4"/>
  <c r="A137" i="4"/>
  <c r="J137" i="4"/>
  <c r="M39" i="4"/>
  <c r="C39" i="4" s="1"/>
  <c r="A39" i="4"/>
  <c r="B39" i="4"/>
  <c r="M5" i="4"/>
  <c r="C5" i="4" s="1"/>
  <c r="B5" i="4"/>
  <c r="A5" i="4"/>
  <c r="M41" i="4"/>
  <c r="C41" i="4" s="1"/>
  <c r="D41" i="4" s="1"/>
  <c r="A41" i="4"/>
  <c r="B41" i="4"/>
  <c r="A56" i="4"/>
  <c r="M56" i="4"/>
  <c r="C56" i="4" s="1"/>
  <c r="B56" i="4"/>
  <c r="B74" i="4"/>
  <c r="A74" i="4"/>
  <c r="M74" i="4"/>
  <c r="C74" i="4" s="1"/>
  <c r="D74" i="4" s="1"/>
  <c r="B43" i="4"/>
  <c r="M43" i="4"/>
  <c r="A43" i="4"/>
  <c r="C43" i="4"/>
  <c r="B65" i="4"/>
  <c r="A65" i="4"/>
  <c r="M65" i="4"/>
  <c r="C65" i="4"/>
  <c r="D65" i="4" s="1"/>
  <c r="M21" i="4"/>
  <c r="C21" i="4" s="1"/>
  <c r="A21" i="4"/>
  <c r="B21" i="4"/>
  <c r="A80" i="4"/>
  <c r="M80" i="4"/>
  <c r="C80" i="4" s="1"/>
  <c r="B80" i="4"/>
  <c r="M64" i="4"/>
  <c r="C64" i="4" s="1"/>
  <c r="A64" i="4"/>
  <c r="B64" i="4"/>
  <c r="B90" i="4"/>
  <c r="A90" i="4"/>
  <c r="M90" i="4"/>
  <c r="C90" i="4" s="1"/>
  <c r="E168" i="4"/>
  <c r="D168" i="4"/>
  <c r="C168" i="4"/>
  <c r="A168" i="4"/>
  <c r="F168" i="4"/>
  <c r="B168" i="4"/>
  <c r="K168" i="4"/>
  <c r="J168" i="4"/>
  <c r="I168" i="4"/>
  <c r="H168" i="4"/>
  <c r="G168" i="4"/>
  <c r="M168" i="4"/>
  <c r="M114" i="4"/>
  <c r="K114" i="4"/>
  <c r="J114" i="4"/>
  <c r="I114" i="4"/>
  <c r="H114" i="4"/>
  <c r="G114" i="4"/>
  <c r="F114" i="4"/>
  <c r="E114" i="4"/>
  <c r="D114" i="4"/>
  <c r="C114" i="4"/>
  <c r="B114" i="4"/>
  <c r="A114" i="4"/>
  <c r="I187" i="4"/>
  <c r="H187" i="4"/>
  <c r="M187" i="4"/>
  <c r="K187" i="4"/>
  <c r="G187" i="4"/>
  <c r="F187" i="4"/>
  <c r="E187" i="4"/>
  <c r="D187" i="4"/>
  <c r="C187" i="4"/>
  <c r="B187" i="4"/>
  <c r="A187" i="4"/>
  <c r="J187" i="4"/>
  <c r="J275" i="4"/>
  <c r="B275" i="4"/>
  <c r="A275" i="4"/>
  <c r="C275" i="4"/>
  <c r="M275" i="4"/>
  <c r="I275" i="4"/>
  <c r="H275" i="4"/>
  <c r="G275" i="4"/>
  <c r="F275" i="4"/>
  <c r="D275" i="4"/>
  <c r="K275" i="4"/>
  <c r="E275" i="4"/>
  <c r="B59" i="4"/>
  <c r="A59" i="4"/>
  <c r="M59" i="4"/>
  <c r="C59" i="4" s="1"/>
  <c r="D113" i="4"/>
  <c r="C113" i="4"/>
  <c r="B113" i="4"/>
  <c r="J113" i="4"/>
  <c r="I113" i="4"/>
  <c r="H113" i="4"/>
  <c r="F113" i="4"/>
  <c r="M113" i="4"/>
  <c r="K113" i="4"/>
  <c r="G113" i="4"/>
  <c r="E113" i="4"/>
  <c r="A113" i="4"/>
  <c r="A86" i="4"/>
  <c r="M86" i="4"/>
  <c r="C86" i="4" s="1"/>
  <c r="B86" i="4"/>
  <c r="K193" i="4"/>
  <c r="C193" i="4"/>
  <c r="B193" i="4"/>
  <c r="D193" i="4"/>
  <c r="A193" i="4"/>
  <c r="M193" i="4"/>
  <c r="J193" i="4"/>
  <c r="I193" i="4"/>
  <c r="H193" i="4"/>
  <c r="G193" i="4"/>
  <c r="F193" i="4"/>
  <c r="E193" i="4"/>
  <c r="K99" i="4"/>
  <c r="J99" i="4"/>
  <c r="I99" i="4"/>
  <c r="G99" i="4"/>
  <c r="C99" i="4"/>
  <c r="B99" i="4"/>
  <c r="A99" i="4"/>
  <c r="M99" i="4"/>
  <c r="H99" i="4"/>
  <c r="F99" i="4"/>
  <c r="E99" i="4"/>
  <c r="D99" i="4"/>
  <c r="E247" i="4"/>
  <c r="D247" i="4"/>
  <c r="C247" i="4"/>
  <c r="A247" i="4"/>
  <c r="F247" i="4"/>
  <c r="B247" i="4"/>
  <c r="G247" i="4"/>
  <c r="M247" i="4"/>
  <c r="I247" i="4"/>
  <c r="K247" i="4"/>
  <c r="J247" i="4"/>
  <c r="H247" i="4"/>
  <c r="M138" i="4"/>
  <c r="K138" i="4"/>
  <c r="J138" i="4"/>
  <c r="I138" i="4"/>
  <c r="H138" i="4"/>
  <c r="G138" i="4"/>
  <c r="F138" i="4"/>
  <c r="E138" i="4"/>
  <c r="D138" i="4"/>
  <c r="C138" i="4"/>
  <c r="B138" i="4"/>
  <c r="A138" i="4"/>
  <c r="G245" i="4"/>
  <c r="F245" i="4"/>
  <c r="E245" i="4"/>
  <c r="C245" i="4"/>
  <c r="A245" i="4"/>
  <c r="M245" i="4"/>
  <c r="K245" i="4"/>
  <c r="J245" i="4"/>
  <c r="I245" i="4"/>
  <c r="H245" i="4"/>
  <c r="D245" i="4"/>
  <c r="B245" i="4"/>
  <c r="K130" i="4"/>
  <c r="J130" i="4"/>
  <c r="H130" i="4"/>
  <c r="E130" i="4"/>
  <c r="D130" i="4"/>
  <c r="C130" i="4"/>
  <c r="B130" i="4"/>
  <c r="A130" i="4"/>
  <c r="M130" i="4"/>
  <c r="I130" i="4"/>
  <c r="G130" i="4"/>
  <c r="F130" i="4"/>
  <c r="F279" i="4"/>
  <c r="M279" i="4"/>
  <c r="J279" i="4"/>
  <c r="I279" i="4"/>
  <c r="H279" i="4"/>
  <c r="E279" i="4"/>
  <c r="C279" i="4"/>
  <c r="A279" i="4"/>
  <c r="G279" i="4"/>
  <c r="D279" i="4"/>
  <c r="B279" i="4"/>
  <c r="K279" i="4"/>
  <c r="K144" i="4"/>
  <c r="J144" i="4"/>
  <c r="H144" i="4"/>
  <c r="D144" i="4"/>
  <c r="C144" i="4"/>
  <c r="M144" i="4"/>
  <c r="I144" i="4"/>
  <c r="G144" i="4"/>
  <c r="E144" i="4"/>
  <c r="F144" i="4"/>
  <c r="B144" i="4"/>
  <c r="A144" i="4"/>
  <c r="H397" i="4"/>
  <c r="G397" i="4"/>
  <c r="F397" i="4"/>
  <c r="E397" i="4"/>
  <c r="D397" i="4"/>
  <c r="C397" i="4"/>
  <c r="B397" i="4"/>
  <c r="A397" i="4"/>
  <c r="M397" i="4"/>
  <c r="J397" i="4"/>
  <c r="K397" i="4"/>
  <c r="I397" i="4"/>
  <c r="F156" i="4"/>
  <c r="E156" i="4"/>
  <c r="D156" i="4"/>
  <c r="B156" i="4"/>
  <c r="M156" i="4"/>
  <c r="K156" i="4"/>
  <c r="J156" i="4"/>
  <c r="I156" i="4"/>
  <c r="H156" i="4"/>
  <c r="G156" i="4"/>
  <c r="C156" i="4"/>
  <c r="A156" i="4"/>
  <c r="C342" i="4"/>
  <c r="B342" i="4"/>
  <c r="A342" i="4"/>
  <c r="M342" i="4"/>
  <c r="J342" i="4"/>
  <c r="I342" i="4"/>
  <c r="E342" i="4"/>
  <c r="G342" i="4"/>
  <c r="F342" i="4"/>
  <c r="D342" i="4"/>
  <c r="K342" i="4"/>
  <c r="H342" i="4"/>
  <c r="M252" i="4"/>
  <c r="K252" i="4"/>
  <c r="D252" i="4"/>
  <c r="J252" i="4"/>
  <c r="I252" i="4"/>
  <c r="H252" i="4"/>
  <c r="F252" i="4"/>
  <c r="E252" i="4"/>
  <c r="G252" i="4"/>
  <c r="C252" i="4"/>
  <c r="B252" i="4"/>
  <c r="A252" i="4"/>
  <c r="M376" i="4"/>
  <c r="K376" i="4"/>
  <c r="J376" i="4"/>
  <c r="I376" i="4"/>
  <c r="H376" i="4"/>
  <c r="G376" i="4"/>
  <c r="F376" i="4"/>
  <c r="E376" i="4"/>
  <c r="D376" i="4"/>
  <c r="C376" i="4"/>
  <c r="B376" i="4"/>
  <c r="A376" i="4"/>
  <c r="K393" i="4"/>
  <c r="J393" i="4"/>
  <c r="I393" i="4"/>
  <c r="H393" i="4"/>
  <c r="G393" i="4"/>
  <c r="F393" i="4"/>
  <c r="E393" i="4"/>
  <c r="D393" i="4"/>
  <c r="C393" i="4"/>
  <c r="B393" i="4"/>
  <c r="A393" i="4"/>
  <c r="M393" i="4"/>
  <c r="G82" i="4" l="1"/>
  <c r="J82" i="4"/>
  <c r="D82" i="4"/>
  <c r="G12" i="3"/>
  <c r="J12" i="3" s="1"/>
  <c r="K12" i="3" s="1"/>
  <c r="J91" i="4"/>
  <c r="I91" i="4"/>
  <c r="K91" i="4"/>
  <c r="G91" i="4"/>
  <c r="F91" i="4" s="1"/>
  <c r="H91" i="4" s="1"/>
  <c r="E91" i="4"/>
  <c r="D91" i="4"/>
  <c r="D46" i="4"/>
  <c r="G46" i="4" s="1"/>
  <c r="D25" i="4"/>
  <c r="J25" i="4" s="1"/>
  <c r="D18" i="4"/>
  <c r="G18" i="4" s="1"/>
  <c r="D7" i="4"/>
  <c r="K7" i="4" s="1"/>
  <c r="D49" i="4"/>
  <c r="G49" i="4" s="1"/>
  <c r="K88" i="4"/>
  <c r="D23" i="4"/>
  <c r="G23" i="4" s="1"/>
  <c r="J79" i="4"/>
  <c r="D10" i="4"/>
  <c r="J10" i="4" s="1"/>
  <c r="E81" i="4"/>
  <c r="G88" i="4"/>
  <c r="J58" i="4"/>
  <c r="D45" i="4"/>
  <c r="J45" i="4" s="1"/>
  <c r="D51" i="4"/>
  <c r="K51" i="4" s="1"/>
  <c r="K70" i="4"/>
  <c r="D53" i="4"/>
  <c r="K53" i="4" s="1"/>
  <c r="D24" i="4"/>
  <c r="I24" i="4" s="1"/>
  <c r="D30" i="4"/>
  <c r="G30" i="4" s="1"/>
  <c r="D56" i="4"/>
  <c r="G56" i="4" s="1"/>
  <c r="D19" i="4"/>
  <c r="K19" i="4" s="1"/>
  <c r="D63" i="4"/>
  <c r="I63" i="4" s="1"/>
  <c r="D17" i="4"/>
  <c r="K17" i="4" s="1"/>
  <c r="K47" i="4"/>
  <c r="J47" i="4"/>
  <c r="I47" i="4"/>
  <c r="G47" i="4"/>
  <c r="E47" i="4"/>
  <c r="D47" i="4"/>
  <c r="I41" i="4"/>
  <c r="K41" i="4"/>
  <c r="G41" i="4"/>
  <c r="D86" i="4"/>
  <c r="E86" i="4" s="1"/>
  <c r="I86" i="4"/>
  <c r="D34" i="4"/>
  <c r="K34" i="4" s="1"/>
  <c r="D36" i="4"/>
  <c r="J36" i="4" s="1"/>
  <c r="D60" i="4"/>
  <c r="I60" i="4" s="1"/>
  <c r="D69" i="4"/>
  <c r="K69" i="4" s="1"/>
  <c r="J29" i="4"/>
  <c r="D29" i="4"/>
  <c r="K29" i="4" s="1"/>
  <c r="D57" i="4"/>
  <c r="K57" i="4" s="1"/>
  <c r="D59" i="4"/>
  <c r="J59" i="4" s="1"/>
  <c r="D90" i="4"/>
  <c r="K90" i="4"/>
  <c r="I90" i="4"/>
  <c r="G90" i="4"/>
  <c r="E90" i="4"/>
  <c r="J90" i="4"/>
  <c r="D31" i="4"/>
  <c r="K31" i="4"/>
  <c r="J31" i="4"/>
  <c r="I31" i="4"/>
  <c r="G31" i="4"/>
  <c r="E31" i="4"/>
  <c r="D14" i="4"/>
  <c r="G14" i="4" s="1"/>
  <c r="D80" i="4"/>
  <c r="G80" i="4" s="1"/>
  <c r="E65" i="4"/>
  <c r="J65" i="4"/>
  <c r="K65" i="4"/>
  <c r="I65" i="4"/>
  <c r="D55" i="4"/>
  <c r="G55" i="4" s="1"/>
  <c r="D62" i="4"/>
  <c r="J62" i="4" s="1"/>
  <c r="D72" i="4"/>
  <c r="I72" i="4" s="1"/>
  <c r="D76" i="4"/>
  <c r="E76" i="4" s="1"/>
  <c r="D67" i="4"/>
  <c r="K67" i="4" s="1"/>
  <c r="D42" i="4"/>
  <c r="K42" i="4" s="1"/>
  <c r="D77" i="4"/>
  <c r="I77" i="4" s="1"/>
  <c r="D78" i="4"/>
  <c r="G78" i="4" s="1"/>
  <c r="D54" i="4"/>
  <c r="I54" i="4" s="1"/>
  <c r="D44" i="4"/>
  <c r="K44" i="4"/>
  <c r="J44" i="4"/>
  <c r="I44" i="4"/>
  <c r="G44" i="4"/>
  <c r="E44" i="4"/>
  <c r="K13" i="4"/>
  <c r="J13" i="4"/>
  <c r="I13" i="4"/>
  <c r="G13" i="4"/>
  <c r="D13" i="4"/>
  <c r="E13" i="4"/>
  <c r="D8" i="4"/>
  <c r="G8" i="4" s="1"/>
  <c r="K40" i="4"/>
  <c r="J40" i="4"/>
  <c r="I40" i="4"/>
  <c r="G40" i="4"/>
  <c r="E40" i="4"/>
  <c r="D40" i="4"/>
  <c r="D15" i="4"/>
  <c r="I15" i="4" s="1"/>
  <c r="D20" i="4"/>
  <c r="K20" i="4" s="1"/>
  <c r="E74" i="4"/>
  <c r="K81" i="4"/>
  <c r="E41" i="4"/>
  <c r="K79" i="4"/>
  <c r="J74" i="4"/>
  <c r="D37" i="4"/>
  <c r="E37" i="4" s="1"/>
  <c r="G65" i="4"/>
  <c r="D27" i="4"/>
  <c r="K27" i="4" s="1"/>
  <c r="E70" i="4"/>
  <c r="K82" i="4"/>
  <c r="D68" i="4"/>
  <c r="G68" i="4" s="1"/>
  <c r="D87" i="4"/>
  <c r="K87" i="4" s="1"/>
  <c r="E58" i="4"/>
  <c r="D32" i="4"/>
  <c r="E32" i="4" s="1"/>
  <c r="D83" i="4"/>
  <c r="K83" i="4" s="1"/>
  <c r="G70" i="4"/>
  <c r="E75" i="4"/>
  <c r="J87" i="4"/>
  <c r="D33" i="4"/>
  <c r="G33" i="4" s="1"/>
  <c r="D28" i="4"/>
  <c r="J28" i="4" s="1"/>
  <c r="I70" i="4"/>
  <c r="D26" i="4"/>
  <c r="E26" i="4" s="1"/>
  <c r="D22" i="4"/>
  <c r="E22" i="4" s="1"/>
  <c r="E46" i="4"/>
  <c r="D11" i="4"/>
  <c r="E11" i="4" s="1"/>
  <c r="D16" i="4"/>
  <c r="I16" i="4" s="1"/>
  <c r="I74" i="4"/>
  <c r="J41" i="4"/>
  <c r="D85" i="4"/>
  <c r="K85" i="4" s="1"/>
  <c r="G75" i="4"/>
  <c r="E18" i="4"/>
  <c r="G58" i="4"/>
  <c r="D71" i="4"/>
  <c r="J71" i="4" s="1"/>
  <c r="I82" i="4"/>
  <c r="E79" i="4"/>
  <c r="I75" i="4"/>
  <c r="D66" i="4"/>
  <c r="J66" i="4" s="1"/>
  <c r="I58" i="4"/>
  <c r="G79" i="4"/>
  <c r="I46" i="4"/>
  <c r="K74" i="4"/>
  <c r="E82" i="4"/>
  <c r="J46" i="4"/>
  <c r="G45" i="4"/>
  <c r="G85" i="4"/>
  <c r="G74" i="4"/>
  <c r="I85" i="4"/>
  <c r="J75" i="4"/>
  <c r="D21" i="4"/>
  <c r="E21" i="4" s="1"/>
  <c r="D5" i="4"/>
  <c r="I79" i="4"/>
  <c r="K75" i="4"/>
  <c r="D89" i="4"/>
  <c r="K89" i="4" s="1"/>
  <c r="G61" i="4"/>
  <c r="E25" i="4"/>
  <c r="D43" i="4"/>
  <c r="G43" i="4" s="1"/>
  <c r="J61" i="4"/>
  <c r="D50" i="4"/>
  <c r="J50" i="4" s="1"/>
  <c r="D38" i="4"/>
  <c r="G38" i="4" s="1"/>
  <c r="D48" i="4"/>
  <c r="J48" i="4" s="1"/>
  <c r="K61" i="4"/>
  <c r="D52" i="4"/>
  <c r="J52" i="4" s="1"/>
  <c r="G25" i="4"/>
  <c r="D12" i="4"/>
  <c r="K12" i="4" s="1"/>
  <c r="D73" i="4"/>
  <c r="G73" i="4" s="1"/>
  <c r="D39" i="4"/>
  <c r="G39" i="4" s="1"/>
  <c r="G7" i="4"/>
  <c r="I88" i="4"/>
  <c r="I7" i="4"/>
  <c r="D35" i="4"/>
  <c r="K35" i="4" s="1"/>
  <c r="D6" i="4"/>
  <c r="E6" i="4" s="1"/>
  <c r="E7" i="4"/>
  <c r="E61" i="4"/>
  <c r="E88" i="4"/>
  <c r="D9" i="4"/>
  <c r="J9" i="4" s="1"/>
  <c r="G81" i="4"/>
  <c r="D64" i="4"/>
  <c r="K64" i="4" s="1"/>
  <c r="I81" i="4"/>
  <c r="D84" i="4"/>
  <c r="K84" i="4" s="1"/>
  <c r="I28" i="4" l="1"/>
  <c r="G22" i="4"/>
  <c r="K45" i="4"/>
  <c r="I21" i="4"/>
  <c r="G12" i="4"/>
  <c r="I45" i="4"/>
  <c r="J22" i="4"/>
  <c r="E45" i="4"/>
  <c r="I18" i="4"/>
  <c r="K8" i="4"/>
  <c r="J8" i="4"/>
  <c r="J37" i="4"/>
  <c r="E85" i="4"/>
  <c r="E14" i="4"/>
  <c r="K10" i="4"/>
  <c r="K18" i="4"/>
  <c r="I66" i="4"/>
  <c r="J12" i="4"/>
  <c r="K11" i="4"/>
  <c r="I8" i="4"/>
  <c r="I37" i="4"/>
  <c r="I14" i="4"/>
  <c r="J6" i="4"/>
  <c r="J73" i="4"/>
  <c r="I12" i="4"/>
  <c r="I25" i="4"/>
  <c r="I27" i="4"/>
  <c r="E10" i="4"/>
  <c r="I49" i="4"/>
  <c r="E51" i="4"/>
  <c r="J39" i="4"/>
  <c r="G51" i="4"/>
  <c r="J51" i="4"/>
  <c r="I52" i="4"/>
  <c r="K49" i="4"/>
  <c r="E33" i="4"/>
  <c r="E28" i="4"/>
  <c r="E49" i="4"/>
  <c r="E35" i="4"/>
  <c r="E20" i="4"/>
  <c r="K39" i="4"/>
  <c r="K23" i="4"/>
  <c r="G17" i="4"/>
  <c r="J7" i="4"/>
  <c r="E23" i="4"/>
  <c r="I20" i="4"/>
  <c r="K52" i="4"/>
  <c r="G28" i="4"/>
  <c r="J20" i="4"/>
  <c r="E36" i="4"/>
  <c r="I19" i="4"/>
  <c r="J18" i="4"/>
  <c r="J84" i="4"/>
  <c r="K28" i="4"/>
  <c r="E87" i="4"/>
  <c r="E15" i="4"/>
  <c r="I36" i="4"/>
  <c r="K25" i="4"/>
  <c r="E39" i="4"/>
  <c r="J23" i="4"/>
  <c r="G20" i="4"/>
  <c r="G52" i="4"/>
  <c r="G26" i="4"/>
  <c r="K37" i="4"/>
  <c r="G10" i="4"/>
  <c r="I73" i="4"/>
  <c r="E73" i="4"/>
  <c r="J49" i="4"/>
  <c r="G87" i="4"/>
  <c r="I71" i="4"/>
  <c r="J15" i="4"/>
  <c r="K36" i="4"/>
  <c r="I84" i="4"/>
  <c r="K15" i="4"/>
  <c r="E34" i="4"/>
  <c r="I23" i="4"/>
  <c r="K46" i="4"/>
  <c r="I39" i="4"/>
  <c r="I35" i="4"/>
  <c r="I26" i="4"/>
  <c r="G37" i="4"/>
  <c r="G34" i="4"/>
  <c r="K21" i="4"/>
  <c r="E77" i="4"/>
  <c r="J86" i="4"/>
  <c r="I51" i="4"/>
  <c r="K86" i="4"/>
  <c r="M8" i="3"/>
  <c r="G86" i="4"/>
  <c r="G64" i="4"/>
  <c r="E84" i="4"/>
  <c r="E42" i="4"/>
  <c r="E43" i="4"/>
  <c r="K43" i="4"/>
  <c r="E89" i="4"/>
  <c r="J21" i="4"/>
  <c r="I87" i="4"/>
  <c r="E64" i="4"/>
  <c r="G89" i="4"/>
  <c r="I10" i="4"/>
  <c r="I89" i="4"/>
  <c r="I42" i="4"/>
  <c r="K68" i="4"/>
  <c r="I56" i="4"/>
  <c r="E38" i="4"/>
  <c r="K48" i="4"/>
  <c r="J76" i="4"/>
  <c r="G9" i="4"/>
  <c r="E9" i="4"/>
  <c r="I9" i="4"/>
  <c r="I22" i="4"/>
  <c r="K66" i="4"/>
  <c r="G66" i="4"/>
  <c r="E66" i="4"/>
  <c r="I38" i="4"/>
  <c r="K26" i="4"/>
  <c r="M5" i="3"/>
  <c r="I5" i="4"/>
  <c r="K5" i="4"/>
  <c r="J5" i="4"/>
  <c r="K32" i="4"/>
  <c r="J77" i="4"/>
  <c r="G71" i="4"/>
  <c r="G16" i="4"/>
  <c r="G15" i="4"/>
  <c r="K77" i="4"/>
  <c r="E72" i="4"/>
  <c r="K38" i="4"/>
  <c r="G29" i="4"/>
  <c r="K16" i="4"/>
  <c r="J56" i="4"/>
  <c r="M10" i="3"/>
  <c r="I48" i="4"/>
  <c r="G50" i="4"/>
  <c r="I43" i="4"/>
  <c r="G72" i="4"/>
  <c r="I80" i="4"/>
  <c r="K56" i="4"/>
  <c r="J33" i="4"/>
  <c r="J72" i="4"/>
  <c r="E80" i="4"/>
  <c r="I29" i="4"/>
  <c r="E17" i="4"/>
  <c r="E56" i="4"/>
  <c r="M11" i="3"/>
  <c r="J89" i="4"/>
  <c r="G42" i="4"/>
  <c r="F42" i="4" s="1"/>
  <c r="H42" i="4" s="1"/>
  <c r="K22" i="4"/>
  <c r="J80" i="4"/>
  <c r="E29" i="4"/>
  <c r="I34" i="4"/>
  <c r="I17" i="4"/>
  <c r="E30" i="4"/>
  <c r="K80" i="4"/>
  <c r="J34" i="4"/>
  <c r="J17" i="4"/>
  <c r="J30" i="4"/>
  <c r="K72" i="4"/>
  <c r="J43" i="4"/>
  <c r="E12" i="4"/>
  <c r="G84" i="4"/>
  <c r="E68" i="4"/>
  <c r="K71" i="4"/>
  <c r="K73" i="4"/>
  <c r="J42" i="4"/>
  <c r="I62" i="4"/>
  <c r="G59" i="4"/>
  <c r="E69" i="4"/>
  <c r="K30" i="4"/>
  <c r="M6" i="3"/>
  <c r="I59" i="4"/>
  <c r="G69" i="4"/>
  <c r="K6" i="4"/>
  <c r="I30" i="4"/>
  <c r="J63" i="4"/>
  <c r="E48" i="4"/>
  <c r="E54" i="4"/>
  <c r="K62" i="4"/>
  <c r="G62" i="4"/>
  <c r="K59" i="4"/>
  <c r="I69" i="4"/>
  <c r="K63" i="4"/>
  <c r="E24" i="4"/>
  <c r="E62" i="4"/>
  <c r="E59" i="4"/>
  <c r="J69" i="4"/>
  <c r="J38" i="4"/>
  <c r="G35" i="4"/>
  <c r="J35" i="4"/>
  <c r="G21" i="4"/>
  <c r="G83" i="4"/>
  <c r="J26" i="4"/>
  <c r="J54" i="4"/>
  <c r="E67" i="4"/>
  <c r="J85" i="4"/>
  <c r="E63" i="4"/>
  <c r="G24" i="4"/>
  <c r="G63" i="4"/>
  <c r="K24" i="4"/>
  <c r="E8" i="4"/>
  <c r="K54" i="4"/>
  <c r="G67" i="4"/>
  <c r="G11" i="4"/>
  <c r="J14" i="4"/>
  <c r="G6" i="4"/>
  <c r="G9" i="3"/>
  <c r="J9" i="3" s="1"/>
  <c r="K9" i="3" s="1"/>
  <c r="F47" i="4"/>
  <c r="H47" i="4" s="1"/>
  <c r="F45" i="4"/>
  <c r="H45" i="4" s="1"/>
  <c r="F46" i="4"/>
  <c r="H46" i="4" s="1"/>
  <c r="J78" i="4"/>
  <c r="I67" i="4"/>
  <c r="E55" i="4"/>
  <c r="K14" i="4"/>
  <c r="E5" i="4"/>
  <c r="E60" i="4"/>
  <c r="K50" i="4"/>
  <c r="J24" i="4"/>
  <c r="M7" i="3"/>
  <c r="G54" i="4"/>
  <c r="E50" i="4"/>
  <c r="K9" i="4"/>
  <c r="I32" i="4"/>
  <c r="J32" i="4"/>
  <c r="I6" i="4"/>
  <c r="E16" i="4"/>
  <c r="K78" i="4"/>
  <c r="J67" i="4"/>
  <c r="I55" i="4"/>
  <c r="G32" i="4"/>
  <c r="E52" i="4"/>
  <c r="G60" i="4"/>
  <c r="J83" i="4"/>
  <c r="J60" i="4"/>
  <c r="F41" i="4"/>
  <c r="H41" i="4" s="1"/>
  <c r="G19" i="4"/>
  <c r="K60" i="4"/>
  <c r="E19" i="4"/>
  <c r="K33" i="4"/>
  <c r="G76" i="4"/>
  <c r="J55" i="4"/>
  <c r="J16" i="4"/>
  <c r="I33" i="4"/>
  <c r="I11" i="4"/>
  <c r="J11" i="4"/>
  <c r="E27" i="4"/>
  <c r="J27" i="4"/>
  <c r="G27" i="4"/>
  <c r="E78" i="4"/>
  <c r="K76" i="4"/>
  <c r="K55" i="4"/>
  <c r="I57" i="4"/>
  <c r="I78" i="4"/>
  <c r="I76" i="4"/>
  <c r="G57" i="4"/>
  <c r="E71" i="4"/>
  <c r="J19" i="4"/>
  <c r="E53" i="4"/>
  <c r="F14" i="4"/>
  <c r="H14" i="4" s="1"/>
  <c r="I50" i="4"/>
  <c r="J68" i="4"/>
  <c r="G48" i="4"/>
  <c r="J64" i="4"/>
  <c r="I68" i="4"/>
  <c r="I64" i="4"/>
  <c r="J57" i="4"/>
  <c r="M9" i="3"/>
  <c r="I53" i="4"/>
  <c r="G77" i="4"/>
  <c r="E57" i="4"/>
  <c r="G36" i="4"/>
  <c r="G53" i="4"/>
  <c r="J53" i="4"/>
  <c r="I83" i="4"/>
  <c r="E83" i="4"/>
  <c r="G5" i="4"/>
  <c r="F28" i="4" l="1"/>
  <c r="H28" i="4" s="1"/>
  <c r="G6" i="3"/>
  <c r="J6" i="3" s="1"/>
  <c r="K6" i="3" s="1"/>
  <c r="F18" i="4"/>
  <c r="H18" i="4" s="1"/>
  <c r="F88" i="4"/>
  <c r="H88" i="4" s="1"/>
  <c r="F87" i="4"/>
  <c r="H87" i="4" s="1"/>
  <c r="F86" i="4"/>
  <c r="H86" i="4" s="1"/>
  <c r="F85" i="4"/>
  <c r="H85" i="4" s="1"/>
  <c r="F83" i="4"/>
  <c r="H83" i="4" s="1"/>
  <c r="F89" i="4"/>
  <c r="H89" i="4" s="1"/>
  <c r="F90" i="4"/>
  <c r="H90" i="4" s="1"/>
  <c r="F84" i="4"/>
  <c r="H84" i="4" s="1"/>
  <c r="G11" i="3"/>
  <c r="J11" i="3" s="1"/>
  <c r="K11" i="3" s="1"/>
  <c r="G8" i="3"/>
  <c r="J8" i="3" s="1"/>
  <c r="K8" i="3" s="1"/>
  <c r="F17" i="4"/>
  <c r="H17" i="4" s="1"/>
  <c r="F44" i="4"/>
  <c r="H44" i="4" s="1"/>
  <c r="F63" i="4"/>
  <c r="H63" i="4" s="1"/>
  <c r="F62" i="4"/>
  <c r="H62" i="4" s="1"/>
  <c r="F49" i="4"/>
  <c r="H49" i="4" s="1"/>
  <c r="F61" i="4"/>
  <c r="H61" i="4" s="1"/>
  <c r="F64" i="4"/>
  <c r="H64" i="4" s="1"/>
  <c r="F73" i="4"/>
  <c r="H73" i="4" s="1"/>
  <c r="F60" i="4"/>
  <c r="H60" i="4" s="1"/>
  <c r="F48" i="4"/>
  <c r="H48" i="4" s="1"/>
  <c r="F50" i="4"/>
  <c r="H50" i="4" s="1"/>
  <c r="F81" i="4"/>
  <c r="H81" i="4" s="1"/>
  <c r="F52" i="4"/>
  <c r="H52" i="4" s="1"/>
  <c r="F54" i="4"/>
  <c r="H54" i="4" s="1"/>
  <c r="F51" i="4"/>
  <c r="H51" i="4" s="1"/>
  <c r="F67" i="4"/>
  <c r="H67" i="4" s="1"/>
  <c r="F53" i="4"/>
  <c r="H53" i="4" s="1"/>
  <c r="F72" i="4"/>
  <c r="H72" i="4" s="1"/>
  <c r="F56" i="4"/>
  <c r="H56" i="4" s="1"/>
  <c r="F55" i="4"/>
  <c r="H55" i="4" s="1"/>
  <c r="F77" i="4"/>
  <c r="H77" i="4" s="1"/>
  <c r="F69" i="4"/>
  <c r="H69" i="4" s="1"/>
  <c r="F57" i="4"/>
  <c r="H57" i="4" s="1"/>
  <c r="F82" i="4"/>
  <c r="H82" i="4" s="1"/>
  <c r="F66" i="4"/>
  <c r="H66" i="4" s="1"/>
  <c r="F76" i="4"/>
  <c r="H76" i="4" s="1"/>
  <c r="F74" i="4"/>
  <c r="H74" i="4" s="1"/>
  <c r="F70" i="4"/>
  <c r="H70" i="4" s="1"/>
  <c r="F71" i="4"/>
  <c r="H71" i="4" s="1"/>
  <c r="F79" i="4"/>
  <c r="H79" i="4" s="1"/>
  <c r="F80" i="4"/>
  <c r="H80" i="4" s="1"/>
  <c r="F78" i="4"/>
  <c r="H78" i="4" s="1"/>
  <c r="F68" i="4"/>
  <c r="H68" i="4" s="1"/>
  <c r="F59" i="4"/>
  <c r="H59" i="4" s="1"/>
  <c r="F65" i="4"/>
  <c r="H65" i="4" s="1"/>
  <c r="F58" i="4"/>
  <c r="H58" i="4" s="1"/>
  <c r="F75" i="4"/>
  <c r="H75" i="4" s="1"/>
  <c r="G10" i="3"/>
  <c r="J10" i="3" s="1"/>
  <c r="K10" i="3" s="1"/>
  <c r="F30" i="4"/>
  <c r="H30" i="4" s="1"/>
  <c r="F35" i="4"/>
  <c r="H35" i="4" s="1"/>
  <c r="F34" i="4"/>
  <c r="H34" i="4" s="1"/>
  <c r="F36" i="4"/>
  <c r="H36" i="4" s="1"/>
  <c r="F38" i="4"/>
  <c r="H38" i="4" s="1"/>
  <c r="F40" i="4"/>
  <c r="H40" i="4" s="1"/>
  <c r="F32" i="4"/>
  <c r="H32" i="4" s="1"/>
  <c r="F33" i="4"/>
  <c r="H33" i="4" s="1"/>
  <c r="F37" i="4"/>
  <c r="H37" i="4" s="1"/>
  <c r="F39" i="4"/>
  <c r="H39" i="4" s="1"/>
  <c r="G7" i="3"/>
  <c r="J7" i="3" s="1"/>
  <c r="K7" i="3" s="1"/>
  <c r="F22" i="4"/>
  <c r="H22" i="4" s="1"/>
  <c r="F24" i="4"/>
  <c r="H24" i="4" s="1"/>
  <c r="F43" i="4"/>
  <c r="H43" i="4" s="1"/>
  <c r="F27" i="4"/>
  <c r="H27" i="4" s="1"/>
  <c r="F26" i="4"/>
  <c r="H26" i="4" s="1"/>
  <c r="F6" i="4"/>
  <c r="H6" i="4" s="1"/>
  <c r="F12" i="4"/>
  <c r="H12" i="4" s="1"/>
  <c r="F8" i="4"/>
  <c r="H8" i="4" s="1"/>
  <c r="F9" i="4"/>
  <c r="H9" i="4" s="1"/>
  <c r="F7" i="4"/>
  <c r="H7" i="4" s="1"/>
  <c r="F13" i="4"/>
  <c r="H13" i="4" s="1"/>
  <c r="F10" i="4"/>
  <c r="H10" i="4" s="1"/>
  <c r="F5" i="4"/>
  <c r="H5" i="4" s="1"/>
  <c r="G5" i="3"/>
  <c r="J5" i="3" s="1"/>
  <c r="K5" i="3" s="1"/>
  <c r="F11" i="4"/>
  <c r="H11" i="4" s="1"/>
  <c r="F23" i="4"/>
  <c r="H23" i="4" s="1"/>
  <c r="F15" i="4"/>
  <c r="H15" i="4" s="1"/>
  <c r="F31" i="4"/>
  <c r="H31" i="4" s="1"/>
  <c r="F29" i="4"/>
  <c r="H29" i="4" s="1"/>
  <c r="F16" i="4"/>
  <c r="H16" i="4" s="1"/>
  <c r="F21" i="4"/>
  <c r="H21" i="4" s="1"/>
  <c r="F19" i="4"/>
  <c r="H19" i="4" s="1"/>
  <c r="F20" i="4"/>
  <c r="H20" i="4" s="1"/>
  <c r="F25" i="4"/>
  <c r="H2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5" authorId="0" shapeId="0" xr:uid="{00000000-0006-0000-0000-000001000000}">
      <text>
        <r>
          <rPr>
            <sz val="10"/>
            <rFont val="Arial"/>
            <family val="2"/>
          </rPr>
          <t>Placeholder chosen by Claude, not specified: 0x7E (the HDLC/PPP flag value). Change it here and every packet length updates. Enter as 0x plus hex byte pairs; the delimiter length is derived from this text.</t>
        </r>
      </text>
    </comment>
    <comment ref="B26" authorId="0" shapeId="0" xr:uid="{00000000-0006-0000-0000-000002000000}">
      <text>
        <r>
          <rPr>
            <sz val="10"/>
            <rFont val="Arial"/>
            <family val="2"/>
          </rPr>
          <t>Derived: (characters in the value - 2 for "0x") / 2 hex digits per byte.</t>
        </r>
      </text>
    </comment>
    <comment ref="B27" authorId="0" shapeId="0" xr:uid="{00000000-0006-0000-0000-000003000000}">
      <text>
        <r>
          <rPr>
            <sz val="10"/>
            <rFont val="Arial"/>
            <family val="2"/>
          </rPr>
          <t>Carried over from the original Packets table (Packet ID bytes = 1 on every row).</t>
        </r>
      </text>
    </comment>
    <comment ref="B28" authorId="0" shapeId="0" xr:uid="{00000000-0006-0000-0000-000004000000}">
      <text>
        <r>
          <rPr>
            <sz val="10"/>
            <rFont val="Arial"/>
            <family val="2"/>
          </rPr>
          <t>Carried over: the original Minimum 8-byte CAN frames formula divided by 8.</t>
        </r>
      </text>
    </comment>
    <comment ref="B29" authorId="0" shapeId="0" xr:uid="{00000000-0006-0000-0000-000005000000}">
      <text>
        <r>
          <rPr>
            <sz val="10"/>
            <rFont val="Arial"/>
            <family val="2"/>
          </rPr>
          <t>Carried over: Transport CRC bytes was 0 on every packet (no application-level CRC).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13" authorId="0" shapeId="0" xr:uid="{00000000-0006-0000-0100-000001000000}">
      <text>
        <r>
          <rPr>
            <sz val="10"/>
            <rFont val="Arial"/>
            <family val="2"/>
          </rPr>
          <t>User selected a three-byte field. The 40 micro-g scale provides headroom beyond +/-320 g.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4" authorId="0" shapeId="0" xr:uid="{00000000-0006-0000-0200-000001000000}">
      <text>
        <r>
          <rPr>
            <sz val="10"/>
            <rFont val="Arial"/>
            <family val="2"/>
          </rPr>
          <t>This is the theoretical minimum before adding any CAN-fragment sequence or reassembly header.</t>
        </r>
      </text>
    </comment>
  </commentList>
</comments>
</file>

<file path=xl/sharedStrings.xml><?xml version="1.0" encoding="utf-8"?>
<sst xmlns="http://schemas.openxmlformats.org/spreadsheetml/2006/main" count="416" uniqueCount="261">
  <si>
    <t>AMA Communications Standard</t>
  </si>
  <si>
    <t>One canonical field catalog and application-packet layout is used on every transport. Multi-byte fields are big-endian.</t>
  </si>
  <si>
    <t>Convention</t>
  </si>
  <si>
    <t>Definition</t>
  </si>
  <si>
    <t>Canonical format</t>
  </si>
  <si>
    <t>LoRa, CAN, USB, and SPI use the same field widths and packet layouts.</t>
  </si>
  <si>
    <t>Application packet</t>
  </si>
  <si>
    <t>One-byte packet ID, then the canonical payload, then one explicit end-of-frame delimiter byte (value under Framing constants below).</t>
  </si>
  <si>
    <t>Payload length</t>
  </si>
  <si>
    <t>Sum of packet fields; excludes packet ID, end-of-frame delimiter, and transport framing.</t>
  </si>
  <si>
    <t>CRC</t>
  </si>
  <si>
    <t>No application-level CRC. Each transport supplies its own integrity/framing mechanism.</t>
  </si>
  <si>
    <t>CAN fragmentation</t>
  </si>
  <si>
    <t>Canonical packets larger than eight bytes must be fragmented and reassembled by the CAN transport.</t>
  </si>
  <si>
    <t>Byte order</t>
  </si>
  <si>
    <t>All multi-byte integer and IEEE-754 fields are big-endian.</t>
  </si>
  <si>
    <t>Uptime</t>
  </si>
  <si>
    <t>Unsigned uint32 milliseconds since boot; wraps after approximately 49.7 days.</t>
  </si>
  <si>
    <t>Scaling</t>
  </si>
  <si>
    <t>Physical value = raw x scale unless the field gives a formula or offset.</t>
  </si>
  <si>
    <t>Field ID</t>
  </si>
  <si>
    <t>Zero-based integer assigned in catalog order on the Fields tab. Packets are defined as ordered lists of Field IDs on the Packet Builder tab.</t>
  </si>
  <si>
    <t>Protocol decision / implementation note</t>
  </si>
  <si>
    <t>Details</t>
  </si>
  <si>
    <t>Filtered acceleration</t>
  </si>
  <si>
    <t>Signed 24-bit, 40 micro-g/count, approximately +/-335.54 g range.</t>
  </si>
  <si>
    <t>Low/high-g raw acceleration</t>
  </si>
  <si>
    <t>Signed 16-bit native sensor values; two bytes per axis.</t>
  </si>
  <si>
    <t>MCU temperatures</t>
  </si>
  <si>
    <t>Signed int8, 1 deg C/count.</t>
  </si>
  <si>
    <t>Battery voltage</t>
  </si>
  <si>
    <t>Unsigned uint16, 1 mV/count.</t>
  </si>
  <si>
    <t>Current sensor output</t>
  </si>
  <si>
    <t>Filtered acceleration is temporarily populated from low-g samples until estimator output exists.</t>
  </si>
  <si>
    <t>Unimplemented fields</t>
  </si>
  <si>
    <t>Current packet producers leave unavailable fields zero-filled.</t>
  </si>
  <si>
    <t>End-of-frame delimiter</t>
  </si>
  <si>
    <t>Every packet ends with one explicit end-of-frame delimiter byte after the payload. Payloads are raw binary, so the value can also occur inside data: receivers should check it at the position implied by the packet ID's length rather than scan for it.</t>
  </si>
  <si>
    <t>Framing constant</t>
  </si>
  <si>
    <t>Value</t>
  </si>
  <si>
    <t>End-of-frame delimiter value</t>
  </si>
  <si>
    <t>End-of-frame delimiter bytes</t>
  </si>
  <si>
    <t>Packet ID bytes</t>
  </si>
  <si>
    <t>CAN frame data bytes</t>
  </si>
  <si>
    <t>Transport CRC bytes</t>
  </si>
  <si>
    <t>Canonical Field Definitions</t>
  </si>
  <si>
    <t>Each field has one transport-independent type, byte width, scaling, and C definition. Field IDs are zero-based and are what the Packet Builder tab references.</t>
  </si>
  <si>
    <t>Field</t>
  </si>
  <si>
    <t>Category</t>
  </si>
  <si>
    <t>Source</t>
  </si>
  <si>
    <t>Wire type</t>
  </si>
  <si>
    <t>Bytes</t>
  </si>
  <si>
    <t>Scale / interpretation</t>
  </si>
  <si>
    <t>C definition</t>
  </si>
  <si>
    <t>Notes</t>
  </si>
  <si>
    <t>Witness Status</t>
  </si>
  <si>
    <t>Witness upkeep</t>
  </si>
  <si>
    <t>Witness</t>
  </si>
  <si>
    <t>bitfield[16]</t>
  </si>
  <si>
    <t>Byte 0 contains status flags; byte 1 is reserved. No numeric scale.</t>
  </si>
  <si>
    <t>IRIS_FIELD_WITNESS_STATUS_LENGTH</t>
  </si>
  <si>
    <t>Current firmware sets sensor-ready flags in byte 0.</t>
  </si>
  <si>
    <t>Witness Uptime</t>
  </si>
  <si>
    <t>uint32</t>
  </si>
  <si>
    <t>1 ms/count; elapsed time since boot.</t>
  </si>
  <si>
    <t>IRIS_FIELD_WITNESS_UPTIME_LENGTH</t>
  </si>
  <si>
    <t>Normative unit is milliseconds. Current heartbeat and sensor serializers emit seconds.</t>
  </si>
  <si>
    <t>Witness MCU Temperature</t>
  </si>
  <si>
    <t>int8</t>
  </si>
  <si>
    <t>1 deg C/count; signed MCU die temperature.</t>
  </si>
  <si>
    <t>IRIS_FIELD_WITNESS_MCU_TEMPERATURE_LENGTH</t>
  </si>
  <si>
    <t>One-byte canonical MCU-temperature representation selected by user.</t>
  </si>
  <si>
    <t>Witness Battery Voltage</t>
  </si>
  <si>
    <t>uint16</t>
  </si>
  <si>
    <t>1 mV/count; battery voltage in millivolts.</t>
  </si>
  <si>
    <t>IRIS_FIELD_WITNESS_BATTERY_VOLTAGE_LENGTH</t>
  </si>
  <si>
    <t>Compressed encoding is implemented by Sensors.</t>
  </si>
  <si>
    <t>IRIS Uptime</t>
  </si>
  <si>
    <t>IRIS upkeep</t>
  </si>
  <si>
    <t>IRIS</t>
  </si>
  <si>
    <t>IRIS_FIELD_IRIS_UPTIME_LENGTH</t>
  </si>
  <si>
    <t>IRIS Status</t>
  </si>
  <si>
    <t>16 independent flags; no numeric scale.</t>
  </si>
  <si>
    <t>IRIS_FIELD_IRIS_STATUS_LENGTH</t>
  </si>
  <si>
    <t>IRIS MCU Temperature</t>
  </si>
  <si>
    <t>IRIS_FIELD_IRIS_MCU_TEMPERATURE_LENGTH</t>
  </si>
  <si>
    <t>IRIS Battery Voltage</t>
  </si>
  <si>
    <t>IRIS_FIELD_IRIS_BATTERY_VOLTAGE_LENGTH</t>
  </si>
  <si>
    <t>Filtered Accel X</t>
  </si>
  <si>
    <t>Filtered estimates</t>
  </si>
  <si>
    <t>signed int24</t>
  </si>
  <si>
    <t>40 micro-g/count; acceleration in g = raw x 0.000040; range approximately -335.54 to +335.54 g.</t>
  </si>
  <si>
    <t>IRIS_FIELD_FILTERED_ACCEL_X_LENGTH</t>
  </si>
  <si>
    <t>Three-byte canonical filtered-acceleration representation selected by user. Current firmware fills it from low-g samples until an estimator output is available.</t>
  </si>
  <si>
    <t>Filtered Accel Y</t>
  </si>
  <si>
    <t>IRIS_FIELD_FILTERED_ACCEL_Y_LENGTH</t>
  </si>
  <si>
    <t>Filtered Accel Z</t>
  </si>
  <si>
    <t>IRIS_FIELD_FILTERED_ACCEL_Z_LENGTH</t>
  </si>
  <si>
    <t>Orientation Quaternion X</t>
  </si>
  <si>
    <t>IEEE-754 float32</t>
  </si>
  <si>
    <t>Unitless normalized quaternion component.</t>
  </si>
  <si>
    <t>IRIS_FIELD_ORIENTATION_QUAT_X_LENGTH</t>
  </si>
  <si>
    <t>Compressed scaling is the explicit protocol interpretation for this revision.</t>
  </si>
  <si>
    <t>Orientation Quaternion Y</t>
  </si>
  <si>
    <t>IRIS_FIELD_ORIENTATION_QUAT_Y_LENGTH</t>
  </si>
  <si>
    <t>Orientation Quaternion Z</t>
  </si>
  <si>
    <t>IRIS_FIELD_ORIENTATION_QUAT_Z_LENGTH</t>
  </si>
  <si>
    <t>Orientation Quaternion W</t>
  </si>
  <si>
    <t>IRIS_FIELD_ORIENTATION_QUAT_W_LENGTH</t>
  </si>
  <si>
    <t>Position X</t>
  </si>
  <si>
    <t>Meters in the estimator local frame.</t>
  </si>
  <si>
    <t>IRIS_FIELD_POSITION_X_LENGTH</t>
  </si>
  <si>
    <t>Position Y</t>
  </si>
  <si>
    <t>IRIS_FIELD_POSITION_Y_LENGTH</t>
  </si>
  <si>
    <t>Position Z</t>
  </si>
  <si>
    <t>IRIS_FIELD_POSITION_Z_LENGTH</t>
  </si>
  <si>
    <t>Velocity X</t>
  </si>
  <si>
    <t>Meters per second in the estimator local frame.</t>
  </si>
  <si>
    <t>IRIS_FIELD_VELOCITY_X_LENGTH</t>
  </si>
  <si>
    <t>Velocity Y</t>
  </si>
  <si>
    <t>IRIS_FIELD_VELOCITY_Y_LENGTH</t>
  </si>
  <si>
    <t>Velocity Z</t>
  </si>
  <si>
    <t>IRIS_FIELD_VELOCITY_Z_LENGTH</t>
  </si>
  <si>
    <t>LSM6 Low Accel X</t>
  </si>
  <si>
    <t>Raw sensors</t>
  </si>
  <si>
    <t>int16</t>
  </si>
  <si>
    <t>0.488 mg/count at +/-16 g.</t>
  </si>
  <si>
    <t>IRIS_FIELD_LSM6_LOW_ACCEL_X_LENGTH</t>
  </si>
  <si>
    <t>LSM6 Low Accel Y</t>
  </si>
  <si>
    <t>IRIS_FIELD_LSM6_LOW_ACCEL_Y_LENGTH</t>
  </si>
  <si>
    <t>LSM6 Low Accel Z</t>
  </si>
  <si>
    <t>IRIS_FIELD_LSM6_LOW_ACCEL_Z_LENGTH</t>
  </si>
  <si>
    <t>LSM6 Temperature</t>
  </si>
  <si>
    <t>Sensor raw code; deg C = 25 + raw / 256.</t>
  </si>
  <si>
    <t>IRIS_FIELD_LSM6_TEMPERATURE_LENGTH</t>
  </si>
  <si>
    <t>Best-guess resolution: selected the later one-byte workbook definition. Uncompressed form remains the native LSM6 raw code.</t>
  </si>
  <si>
    <t>LSM6 High Accel X</t>
  </si>
  <si>
    <t>10.417 mg/count at +/-320 g.</t>
  </si>
  <si>
    <t>IRIS_FIELD_LSM6_HIGH_ACCEL_X_LENGTH</t>
  </si>
  <si>
    <t>LSM6 High Accel Y</t>
  </si>
  <si>
    <t>IRIS_FIELD_LSM6_HIGH_ACCEL_Y_LENGTH</t>
  </si>
  <si>
    <t>LSM6 High Accel Z</t>
  </si>
  <si>
    <t>IRIS_FIELD_LSM6_HIGH_ACCEL_Z_LENGTH</t>
  </si>
  <si>
    <t>LSM6 Gyro X</t>
  </si>
  <si>
    <t>70 mdps/count at +/-2000 dps.</t>
  </si>
  <si>
    <t>IRIS_FIELD_LSM6_GYRO_X_LENGTH</t>
  </si>
  <si>
    <t>LSM6 Gyro Y</t>
  </si>
  <si>
    <t>IRIS_FIELD_LSM6_GYRO_Y_LENGTH</t>
  </si>
  <si>
    <t>LSM6 Gyro Z</t>
  </si>
  <si>
    <t>IRIS_FIELD_LSM6_GYRO_Z_LENGTH</t>
  </si>
  <si>
    <t>MS5607 Pressure</t>
  </si>
  <si>
    <t>uint24</t>
  </si>
  <si>
    <t>1 Pa/count (equivalent to 0.01 mbar/count).</t>
  </si>
  <si>
    <t>IRIS_FIELD_MS5607_PRESSURE_LENGTH</t>
  </si>
  <si>
    <t>The driver stores compensated pressure in Pa/centi-mbar units.</t>
  </si>
  <si>
    <t>MS5607 Temperature</t>
  </si>
  <si>
    <t>0.01 deg C/count.</t>
  </si>
  <si>
    <t>IRIS_FIELD_MS5607_TEMPERATURE_LENGTH</t>
  </si>
  <si>
    <t>MS5607 Altitude</t>
  </si>
  <si>
    <t>Meters above the configured pressure reference.</t>
  </si>
  <si>
    <t>IRIS_FIELD_MS5607_ALTITUDE_LENGTH</t>
  </si>
  <si>
    <t>Current 0x02 serializer emits this as big-endian float32.</t>
  </si>
  <si>
    <t>Latitude</t>
  </si>
  <si>
    <t>0.0001 degree/count; degrees = raw / 10,000.</t>
  </si>
  <si>
    <t>IRIS_FIELD_LATITUDE_LENGTH</t>
  </si>
  <si>
    <t>Longitude</t>
  </si>
  <si>
    <t>IRIS_FIELD_LONGITUDE_LENGTH</t>
  </si>
  <si>
    <t>GPS Time</t>
  </si>
  <si>
    <t>1 second/count; Unix timestamp in UTC.</t>
  </si>
  <si>
    <t>IRIS_FIELD_GPS_TIME_LENGTH</t>
  </si>
  <si>
    <t>GPS Altitude</t>
  </si>
  <si>
    <t>Meters above mean sea level.</t>
  </si>
  <si>
    <t>IRIS_FIELD_GPS_ALTITUDE_LENGTH</t>
  </si>
  <si>
    <t>Channel 1 Current</t>
  </si>
  <si>
    <t>IRIS sensing</t>
  </si>
  <si>
    <t>uint8</t>
  </si>
  <si>
    <t>0.1 A/count; current in amperes = raw x 0.1.</t>
  </si>
  <si>
    <t>IRIS_FIELD_CH1_CURRENT_LENGTH</t>
  </si>
  <si>
    <t>Scale is defined by this protocol revision; verify against the future current-sense driver.</t>
  </si>
  <si>
    <t>Channel 2 Current</t>
  </si>
  <si>
    <t>IRIS_FIELD_CH2_CURRENT_LENGTH</t>
  </si>
  <si>
    <t>Channel 3 Current</t>
  </si>
  <si>
    <t>IRIS_FIELD_CH3_CURRENT_LENGTH</t>
  </si>
  <si>
    <t>Command</t>
  </si>
  <si>
    <t>General</t>
  </si>
  <si>
    <t>Any</t>
  </si>
  <si>
    <t>uint16 enum</t>
  </si>
  <si>
    <t>No numeric scale; command/opcode value.</t>
  </si>
  <si>
    <t>IRIS_FIELD_COMMAND_LENGTH</t>
  </si>
  <si>
    <t>Ground Station Status</t>
  </si>
  <si>
    <t>Common packet alias</t>
  </si>
  <si>
    <t>Ground station</t>
  </si>
  <si>
    <t>Byte 0 contains status flags; byte 1 is reserved.</t>
  </si>
  <si>
    <t>IRIS_PACKET_STATUS_LENGTH</t>
  </si>
  <si>
    <t>Uses the common status width in comms.h.</t>
  </si>
  <si>
    <t>Ground Station Uptime</t>
  </si>
  <si>
    <t>1 ms/count; elapsed time since ground-station boot.</t>
  </si>
  <si>
    <t>IRIS_PACKET_UPTIME_LENGTH</t>
  </si>
  <si>
    <t>Current Witness heartbeat producer sends Witness uptime in seconds.</t>
  </si>
  <si>
    <t>Packet Builder</t>
  </si>
  <si>
    <t>Define a packet in one row: Packet ID, name, direction, rate, and the ordered list of Field IDs (comma-separated, in wire order; IDs are on the Fields tab). Dark-blue headers are inputs, light-blue are calculated. Application packet = packet ID + payload + end-of-frame delimiter. The Packets tab regenerates the byte layout.</t>
  </si>
  <si>
    <t>Packet ID</t>
  </si>
  <si>
    <t>Name</t>
  </si>
  <si>
    <t>Direction</t>
  </si>
  <si>
    <t>Rate</t>
  </si>
  <si>
    <t>Field IDs (wire order, comma-separated)</t>
  </si>
  <si>
    <t>Fields</t>
  </si>
  <si>
    <t>Payload bytes</t>
  </si>
  <si>
    <t>EOF bytes</t>
  </si>
  <si>
    <t>Application packet bytes</t>
  </si>
  <si>
    <t>Minimum 8-byte CAN frames</t>
  </si>
  <si>
    <t>Check</t>
  </si>
  <si>
    <t>Cumulative layout rows (helper)</t>
  </si>
  <si>
    <t>Field IDs, spaces removed (helper)</t>
  </si>
  <si>
    <t>0x01</t>
  </si>
  <si>
    <t>Sensors</t>
  </si>
  <si>
    <t>Witness -&gt; peer</t>
  </si>
  <si>
    <t>10 Hz nominal</t>
  </si>
  <si>
    <t>0, 1, 8, 9, 10, 28, 29, 30</t>
  </si>
  <si>
    <t>Status, uptime, filtered acceleration, and gyro.</t>
  </si>
  <si>
    <t>0x02</t>
  </si>
  <si>
    <t>State</t>
  </si>
  <si>
    <t>1 Hz firmware</t>
  </si>
  <si>
    <t>0, 1, 11, 12, 13, 14, 15, 16, 17, 18, 19, 20, 34, 35, 37, 33, 3</t>
  </si>
  <si>
    <t>Estimated state, navigation, barometric altitude, and FC battery.</t>
  </si>
  <si>
    <t>0x03</t>
  </si>
  <si>
    <t>Camera</t>
  </si>
  <si>
    <t>IRIS/Witness -&gt; peer</t>
  </si>
  <si>
    <t>1 Hz nominal</t>
  </si>
  <si>
    <t>0, 1, 5, 4, 38, 39, 40, 7</t>
  </si>
  <si>
    <t>Witness and IRIS status, current sensing, and IRIS battery.</t>
  </si>
  <si>
    <t>0x05</t>
  </si>
  <si>
    <t>Controller -&gt; board</t>
  </si>
  <si>
    <t>On demand</t>
  </si>
  <si>
    <t>42, 43, 41</t>
  </si>
  <si>
    <t>Command packet.</t>
  </si>
  <si>
    <t>0xFF</t>
  </si>
  <si>
    <t>Heartbeat</t>
  </si>
  <si>
    <t>Board -&gt; peer</t>
  </si>
  <si>
    <t>1 Hz</t>
  </si>
  <si>
    <t>42, 43</t>
  </si>
  <si>
    <t>Heartbeat and uptime.</t>
  </si>
  <si>
    <t>0xE0</t>
  </si>
  <si>
    <t>Witness Debug</t>
  </si>
  <si>
    <t>0, 1, 2, 3, 8, 9, 10, 11, 12, 13, 14, 15, 16, 17, 18, 19, 20, 21, 22, 23, 24, 25, 26, 27, 28, 29, 30, 31, 32, 33, 34, 35, 36, 37</t>
  </si>
  <si>
    <t>Every field collected from sensors and computed from witness. For debug only, command 0x64 to turn on, 0x65 to turn off.</t>
  </si>
  <si>
    <t>0xE1</t>
  </si>
  <si>
    <t>Iris debug</t>
  </si>
  <si>
    <t>Iris-&gt;peer</t>
  </si>
  <si>
    <t>5, 4, 6, 7, 38, 39, 40</t>
  </si>
  <si>
    <t>Every field collected from sensors and computed from Iris. For debug only, command 0x64 to turn on, 0x65 to turn off.</t>
  </si>
  <si>
    <t>Canonical Packet Definitions</t>
  </si>
  <si>
    <t>Generated from the Packet Builder tab: edit packets there, not here. Packet IDs, field orders, offsets, and payload sizes are identical on every transport. Offsets count from the first payload byte (right after the packet ID); the highlighted row is the end-of-frame delimiter.</t>
  </si>
  <si>
    <t>Packet</t>
  </si>
  <si>
    <t>Order</t>
  </si>
  <si>
    <t>Offset</t>
  </si>
  <si>
    <t>Size bytes</t>
  </si>
  <si>
    <t>Last byte</t>
  </si>
  <si>
    <t>Builder row (helper)</t>
  </si>
  <si>
    <t>Fields in packet (helper)</t>
  </si>
  <si>
    <t>0x0A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</si>
</sst>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666666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name val="Arial"/>
      <family val="2"/>
    </font>
    <font>
      <i/>
      <sz val="10"/>
      <color rgb="FF80808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B9BD5"/>
        <bgColor rgb="FF808080"/>
      </patternFill>
    </fill>
    <fill>
      <patternFill patternType="solid">
        <fgColor rgb="FFFFFFFF"/>
        <bgColor rgb="FFEAF2F8"/>
      </patternFill>
    </fill>
    <fill>
      <patternFill patternType="solid">
        <fgColor rgb="FFEAF2F8"/>
        <bgColor rgb="FFFFFFFF"/>
      </patternFill>
    </fill>
    <fill>
      <patternFill patternType="solid">
        <fgColor rgb="FFFFF2CC"/>
        <bgColor rgb="FFEAF2F8"/>
      </patternFill>
    </fill>
    <fill>
      <patternFill patternType="solid">
        <fgColor rgb="FF7F7F7F"/>
        <bgColor rgb="FF80808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49" fontId="5" fillId="4" borderId="1" xfId="0" applyNumberFormat="1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vertical="top"/>
    </xf>
    <xf numFmtId="49" fontId="5" fillId="5" borderId="1" xfId="0" applyNumberFormat="1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5">
    <dxf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ill>
        <patternFill>
          <bgColor rgb="FFEAF2F8"/>
        </patternFill>
      </fill>
    </dxf>
    <dxf>
      <fill>
        <patternFill>
          <bgColor rgb="FFFFF2CC"/>
        </patternFill>
      </fill>
    </dxf>
    <dxf>
      <font>
        <color rgb="FF2E7D32"/>
      </font>
    </dxf>
    <dxf>
      <font>
        <b/>
        <color rgb="FFC00000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5B9BD5"/>
      <rgbColor rgb="FF993366"/>
      <rgbColor rgb="FFFFF2CC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7F7F7F"/>
      <rgbColor rgb="FF003366"/>
      <rgbColor rgb="FF2E7D32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zoomScaleNormal="100" workbookViewId="0">
      <pane ySplit="3" topLeftCell="A4" activePane="bottomLeft" state="frozen"/>
      <selection pane="bottomLeft" activeCell="B26" sqref="B26"/>
    </sheetView>
  </sheetViews>
  <sheetFormatPr defaultColWidth="8.453125" defaultRowHeight="14.5" x14ac:dyDescent="0.35"/>
  <cols>
    <col min="1" max="1" width="35" customWidth="1"/>
    <col min="2" max="2" width="105" customWidth="1"/>
  </cols>
  <sheetData>
    <row r="1" spans="1:8" ht="27.75" customHeight="1" x14ac:dyDescent="0.35">
      <c r="A1" s="24" t="s">
        <v>0</v>
      </c>
      <c r="B1" s="24"/>
      <c r="C1" s="24"/>
      <c r="D1" s="24"/>
      <c r="E1" s="24"/>
      <c r="F1" s="24"/>
      <c r="G1" s="24"/>
      <c r="H1" s="24"/>
    </row>
    <row r="2" spans="1:8" ht="33.75" customHeight="1" x14ac:dyDescent="0.35">
      <c r="A2" s="25" t="s">
        <v>1</v>
      </c>
      <c r="B2" s="25"/>
      <c r="C2" s="25"/>
      <c r="D2" s="25"/>
      <c r="E2" s="25"/>
      <c r="F2" s="25"/>
      <c r="G2" s="25"/>
      <c r="H2" s="25"/>
    </row>
    <row r="4" spans="1:8" ht="30" customHeight="1" x14ac:dyDescent="0.35">
      <c r="A4" s="1" t="s">
        <v>2</v>
      </c>
      <c r="B4" s="1" t="s">
        <v>3</v>
      </c>
    </row>
    <row r="5" spans="1:8" x14ac:dyDescent="0.35">
      <c r="A5" s="2" t="s">
        <v>4</v>
      </c>
      <c r="B5" s="2" t="s">
        <v>5</v>
      </c>
    </row>
    <row r="6" spans="1:8" ht="25" x14ac:dyDescent="0.35">
      <c r="A6" s="3" t="s">
        <v>6</v>
      </c>
      <c r="B6" s="3" t="s">
        <v>7</v>
      </c>
    </row>
    <row r="7" spans="1:8" x14ac:dyDescent="0.35">
      <c r="A7" s="2" t="s">
        <v>8</v>
      </c>
      <c r="B7" s="2" t="s">
        <v>9</v>
      </c>
    </row>
    <row r="8" spans="1:8" x14ac:dyDescent="0.35">
      <c r="A8" s="3" t="s">
        <v>10</v>
      </c>
      <c r="B8" s="3" t="s">
        <v>11</v>
      </c>
    </row>
    <row r="9" spans="1:8" x14ac:dyDescent="0.35">
      <c r="A9" s="2" t="s">
        <v>12</v>
      </c>
      <c r="B9" s="2" t="s">
        <v>13</v>
      </c>
    </row>
    <row r="10" spans="1:8" x14ac:dyDescent="0.35">
      <c r="A10" s="3" t="s">
        <v>14</v>
      </c>
      <c r="B10" s="3" t="s">
        <v>15</v>
      </c>
    </row>
    <row r="11" spans="1:8" x14ac:dyDescent="0.35">
      <c r="A11" s="2" t="s">
        <v>16</v>
      </c>
      <c r="B11" s="2" t="s">
        <v>17</v>
      </c>
    </row>
    <row r="12" spans="1:8" x14ac:dyDescent="0.35">
      <c r="A12" s="3" t="s">
        <v>18</v>
      </c>
      <c r="B12" s="3" t="s">
        <v>19</v>
      </c>
    </row>
    <row r="13" spans="1:8" ht="27" customHeight="1" x14ac:dyDescent="0.35">
      <c r="A13" s="2" t="s">
        <v>20</v>
      </c>
      <c r="B13" s="2" t="s">
        <v>21</v>
      </c>
    </row>
    <row r="15" spans="1:8" ht="30" customHeight="1" x14ac:dyDescent="0.35">
      <c r="A15" s="1" t="s">
        <v>22</v>
      </c>
      <c r="B15" s="1" t="s">
        <v>23</v>
      </c>
    </row>
    <row r="16" spans="1:8" x14ac:dyDescent="0.35">
      <c r="A16" s="4" t="s">
        <v>24</v>
      </c>
      <c r="B16" s="4" t="s">
        <v>25</v>
      </c>
    </row>
    <row r="17" spans="1:2" x14ac:dyDescent="0.35">
      <c r="A17" s="4" t="s">
        <v>26</v>
      </c>
      <c r="B17" s="4" t="s">
        <v>27</v>
      </c>
    </row>
    <row r="18" spans="1:2" x14ac:dyDescent="0.35">
      <c r="A18" s="4" t="s">
        <v>28</v>
      </c>
      <c r="B18" s="4" t="s">
        <v>29</v>
      </c>
    </row>
    <row r="19" spans="1:2" x14ac:dyDescent="0.35">
      <c r="A19" s="4" t="s">
        <v>30</v>
      </c>
      <c r="B19" s="4" t="s">
        <v>31</v>
      </c>
    </row>
    <row r="20" spans="1:2" x14ac:dyDescent="0.35">
      <c r="A20" s="4" t="s">
        <v>32</v>
      </c>
      <c r="B20" s="4" t="s">
        <v>33</v>
      </c>
    </row>
    <row r="21" spans="1:2" x14ac:dyDescent="0.35">
      <c r="A21" s="4" t="s">
        <v>34</v>
      </c>
      <c r="B21" s="4" t="s">
        <v>35</v>
      </c>
    </row>
    <row r="22" spans="1:2" ht="39.75" customHeight="1" x14ac:dyDescent="0.35">
      <c r="A22" s="4" t="s">
        <v>36</v>
      </c>
      <c r="B22" s="4" t="s">
        <v>37</v>
      </c>
    </row>
    <row r="24" spans="1:2" ht="30" customHeight="1" x14ac:dyDescent="0.35">
      <c r="A24" s="1" t="s">
        <v>38</v>
      </c>
      <c r="B24" s="1" t="s">
        <v>39</v>
      </c>
    </row>
    <row r="25" spans="1:2" ht="14.25" customHeight="1" x14ac:dyDescent="0.35">
      <c r="A25" s="2" t="s">
        <v>40</v>
      </c>
      <c r="B25" s="5" t="s">
        <v>260</v>
      </c>
    </row>
    <row r="26" spans="1:2" ht="14.25" customHeight="1" x14ac:dyDescent="0.35">
      <c r="A26" s="3" t="s">
        <v>41</v>
      </c>
      <c r="B26" s="6">
        <f>(LEN(B25)-2)/2</f>
        <v>1</v>
      </c>
    </row>
    <row r="27" spans="1:2" ht="14.25" customHeight="1" x14ac:dyDescent="0.35">
      <c r="A27" s="2" t="s">
        <v>42</v>
      </c>
      <c r="B27" s="7">
        <v>1</v>
      </c>
    </row>
    <row r="28" spans="1:2" ht="14.25" customHeight="1" x14ac:dyDescent="0.35">
      <c r="A28" s="3" t="s">
        <v>43</v>
      </c>
      <c r="B28" s="8">
        <v>8</v>
      </c>
    </row>
    <row r="29" spans="1:2" ht="14.25" customHeight="1" x14ac:dyDescent="0.35">
      <c r="A29" s="2" t="s">
        <v>44</v>
      </c>
      <c r="B29" s="7">
        <v>0</v>
      </c>
    </row>
  </sheetData>
  <mergeCells count="2">
    <mergeCell ref="A1:H1"/>
    <mergeCell ref="A2:H2"/>
  </mergeCells>
  <pageMargins left="0.75" right="0.75" top="1" bottom="1" header="0.511811023622047" footer="0.511811023622047"/>
  <pageSetup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showGridLines="0" zoomScaleNormal="100" workbookViewId="0">
      <pane ySplit="4" topLeftCell="A5" activePane="bottomLeft" state="frozen"/>
      <selection pane="bottomLeft" sqref="A1:I1"/>
    </sheetView>
  </sheetViews>
  <sheetFormatPr defaultColWidth="8.453125" defaultRowHeight="14.5" x14ac:dyDescent="0.35"/>
  <cols>
    <col min="1" max="1" width="9" customWidth="1"/>
    <col min="2" max="2" width="38" customWidth="1"/>
    <col min="3" max="3" width="21" customWidth="1"/>
    <col min="4" max="4" width="16" customWidth="1"/>
    <col min="5" max="5" width="22" customWidth="1"/>
    <col min="6" max="6" width="10" customWidth="1"/>
    <col min="7" max="7" width="60" customWidth="1"/>
    <col min="8" max="8" width="58" customWidth="1"/>
    <col min="9" max="9" width="68" customWidth="1"/>
  </cols>
  <sheetData>
    <row r="1" spans="1:9" ht="27.75" customHeight="1" x14ac:dyDescent="0.35">
      <c r="A1" s="24" t="s">
        <v>45</v>
      </c>
      <c r="B1" s="24"/>
      <c r="C1" s="24"/>
      <c r="D1" s="24"/>
      <c r="E1" s="24"/>
      <c r="F1" s="24"/>
      <c r="G1" s="24"/>
      <c r="H1" s="24"/>
      <c r="I1" s="24"/>
    </row>
    <row r="2" spans="1:9" ht="33.75" customHeight="1" x14ac:dyDescent="0.35">
      <c r="A2" s="25" t="s">
        <v>46</v>
      </c>
      <c r="B2" s="25"/>
      <c r="C2" s="25"/>
      <c r="D2" s="25"/>
      <c r="E2" s="25"/>
      <c r="F2" s="25"/>
      <c r="G2" s="25"/>
      <c r="H2" s="25"/>
      <c r="I2" s="25"/>
    </row>
    <row r="4" spans="1:9" ht="30" customHeight="1" x14ac:dyDescent="0.35">
      <c r="A4" s="1" t="s">
        <v>20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53</v>
      </c>
      <c r="I4" s="1" t="s">
        <v>54</v>
      </c>
    </row>
    <row r="5" spans="1:9" x14ac:dyDescent="0.35">
      <c r="A5" s="9">
        <v>0</v>
      </c>
      <c r="B5" s="2" t="s">
        <v>55</v>
      </c>
      <c r="C5" s="2" t="s">
        <v>56</v>
      </c>
      <c r="D5" s="2" t="s">
        <v>57</v>
      </c>
      <c r="E5" s="2" t="s">
        <v>58</v>
      </c>
      <c r="F5" s="2">
        <v>2</v>
      </c>
      <c r="G5" s="2" t="s">
        <v>59</v>
      </c>
      <c r="H5" s="2" t="s">
        <v>60</v>
      </c>
      <c r="I5" s="2" t="s">
        <v>61</v>
      </c>
    </row>
    <row r="6" spans="1:9" ht="24.75" customHeight="1" x14ac:dyDescent="0.35">
      <c r="A6" s="10">
        <v>1</v>
      </c>
      <c r="B6" s="3" t="s">
        <v>62</v>
      </c>
      <c r="C6" s="3" t="s">
        <v>56</v>
      </c>
      <c r="D6" s="3" t="s">
        <v>57</v>
      </c>
      <c r="E6" s="3" t="s">
        <v>63</v>
      </c>
      <c r="F6" s="3">
        <v>4</v>
      </c>
      <c r="G6" s="3" t="s">
        <v>64</v>
      </c>
      <c r="H6" s="3" t="s">
        <v>65</v>
      </c>
      <c r="I6" s="3" t="s">
        <v>66</v>
      </c>
    </row>
    <row r="7" spans="1:9" x14ac:dyDescent="0.35">
      <c r="A7" s="9">
        <v>2</v>
      </c>
      <c r="B7" s="2" t="s">
        <v>67</v>
      </c>
      <c r="C7" s="2" t="s">
        <v>56</v>
      </c>
      <c r="D7" s="2" t="s">
        <v>57</v>
      </c>
      <c r="E7" s="2" t="s">
        <v>68</v>
      </c>
      <c r="F7" s="2">
        <v>1</v>
      </c>
      <c r="G7" s="2" t="s">
        <v>69</v>
      </c>
      <c r="H7" s="2" t="s">
        <v>70</v>
      </c>
      <c r="I7" s="2" t="s">
        <v>71</v>
      </c>
    </row>
    <row r="8" spans="1:9" x14ac:dyDescent="0.35">
      <c r="A8" s="10">
        <v>3</v>
      </c>
      <c r="B8" s="3" t="s">
        <v>72</v>
      </c>
      <c r="C8" s="3" t="s">
        <v>56</v>
      </c>
      <c r="D8" s="3" t="s">
        <v>57</v>
      </c>
      <c r="E8" s="3" t="s">
        <v>73</v>
      </c>
      <c r="F8" s="3">
        <v>2</v>
      </c>
      <c r="G8" s="3" t="s">
        <v>74</v>
      </c>
      <c r="H8" s="3" t="s">
        <v>75</v>
      </c>
      <c r="I8" s="3" t="s">
        <v>76</v>
      </c>
    </row>
    <row r="9" spans="1:9" x14ac:dyDescent="0.35">
      <c r="A9" s="9">
        <v>4</v>
      </c>
      <c r="B9" s="2" t="s">
        <v>77</v>
      </c>
      <c r="C9" s="2" t="s">
        <v>78</v>
      </c>
      <c r="D9" s="2" t="s">
        <v>79</v>
      </c>
      <c r="E9" s="2" t="s">
        <v>63</v>
      </c>
      <c r="F9" s="2">
        <v>4</v>
      </c>
      <c r="G9" s="2" t="s">
        <v>64</v>
      </c>
      <c r="H9" s="2" t="s">
        <v>80</v>
      </c>
      <c r="I9" s="2"/>
    </row>
    <row r="10" spans="1:9" x14ac:dyDescent="0.35">
      <c r="A10" s="10">
        <v>5</v>
      </c>
      <c r="B10" s="3" t="s">
        <v>81</v>
      </c>
      <c r="C10" s="3" t="s">
        <v>78</v>
      </c>
      <c r="D10" s="3" t="s">
        <v>79</v>
      </c>
      <c r="E10" s="3" t="s">
        <v>58</v>
      </c>
      <c r="F10" s="3">
        <v>2</v>
      </c>
      <c r="G10" s="3" t="s">
        <v>82</v>
      </c>
      <c r="H10" s="3" t="s">
        <v>83</v>
      </c>
      <c r="I10" s="3"/>
    </row>
    <row r="11" spans="1:9" x14ac:dyDescent="0.35">
      <c r="A11" s="9">
        <v>6</v>
      </c>
      <c r="B11" s="2" t="s">
        <v>84</v>
      </c>
      <c r="C11" s="2" t="s">
        <v>78</v>
      </c>
      <c r="D11" s="2" t="s">
        <v>79</v>
      </c>
      <c r="E11" s="2" t="s">
        <v>68</v>
      </c>
      <c r="F11" s="2">
        <v>1</v>
      </c>
      <c r="G11" s="2" t="s">
        <v>69</v>
      </c>
      <c r="H11" s="2" t="s">
        <v>85</v>
      </c>
      <c r="I11" s="2" t="s">
        <v>71</v>
      </c>
    </row>
    <row r="12" spans="1:9" x14ac:dyDescent="0.35">
      <c r="A12" s="10">
        <v>7</v>
      </c>
      <c r="B12" s="3" t="s">
        <v>86</v>
      </c>
      <c r="C12" s="3" t="s">
        <v>78</v>
      </c>
      <c r="D12" s="3" t="s">
        <v>79</v>
      </c>
      <c r="E12" s="3" t="s">
        <v>73</v>
      </c>
      <c r="F12" s="3">
        <v>2</v>
      </c>
      <c r="G12" s="3" t="s">
        <v>74</v>
      </c>
      <c r="H12" s="3" t="s">
        <v>87</v>
      </c>
      <c r="I12" s="3"/>
    </row>
    <row r="13" spans="1:9" ht="24.75" customHeight="1" x14ac:dyDescent="0.35">
      <c r="A13" s="9">
        <v>8</v>
      </c>
      <c r="B13" s="2" t="s">
        <v>88</v>
      </c>
      <c r="C13" s="2" t="s">
        <v>89</v>
      </c>
      <c r="D13" s="2" t="s">
        <v>57</v>
      </c>
      <c r="E13" s="2" t="s">
        <v>90</v>
      </c>
      <c r="F13" s="2">
        <v>3</v>
      </c>
      <c r="G13" s="2" t="s">
        <v>91</v>
      </c>
      <c r="H13" s="2" t="s">
        <v>92</v>
      </c>
      <c r="I13" s="2" t="s">
        <v>93</v>
      </c>
    </row>
    <row r="14" spans="1:9" ht="24.75" customHeight="1" x14ac:dyDescent="0.35">
      <c r="A14" s="10">
        <v>9</v>
      </c>
      <c r="B14" s="3" t="s">
        <v>94</v>
      </c>
      <c r="C14" s="3" t="s">
        <v>89</v>
      </c>
      <c r="D14" s="3" t="s">
        <v>57</v>
      </c>
      <c r="E14" s="3" t="s">
        <v>90</v>
      </c>
      <c r="F14" s="3">
        <v>3</v>
      </c>
      <c r="G14" s="3" t="s">
        <v>91</v>
      </c>
      <c r="H14" s="3" t="s">
        <v>95</v>
      </c>
      <c r="I14" s="3" t="s">
        <v>93</v>
      </c>
    </row>
    <row r="15" spans="1:9" ht="24.75" customHeight="1" x14ac:dyDescent="0.35">
      <c r="A15" s="9">
        <v>10</v>
      </c>
      <c r="B15" s="2" t="s">
        <v>96</v>
      </c>
      <c r="C15" s="2" t="s">
        <v>89</v>
      </c>
      <c r="D15" s="2" t="s">
        <v>57</v>
      </c>
      <c r="E15" s="2" t="s">
        <v>90</v>
      </c>
      <c r="F15" s="2">
        <v>3</v>
      </c>
      <c r="G15" s="2" t="s">
        <v>91</v>
      </c>
      <c r="H15" s="2" t="s">
        <v>97</v>
      </c>
      <c r="I15" s="2" t="s">
        <v>93</v>
      </c>
    </row>
    <row r="16" spans="1:9" x14ac:dyDescent="0.35">
      <c r="A16" s="10">
        <v>11</v>
      </c>
      <c r="B16" s="3" t="s">
        <v>98</v>
      </c>
      <c r="C16" s="3" t="s">
        <v>89</v>
      </c>
      <c r="D16" s="3" t="s">
        <v>57</v>
      </c>
      <c r="E16" s="3" t="s">
        <v>99</v>
      </c>
      <c r="F16" s="3">
        <v>4</v>
      </c>
      <c r="G16" s="3" t="s">
        <v>100</v>
      </c>
      <c r="H16" s="3" t="s">
        <v>101</v>
      </c>
      <c r="I16" s="3" t="s">
        <v>102</v>
      </c>
    </row>
    <row r="17" spans="1:9" x14ac:dyDescent="0.35">
      <c r="A17" s="9">
        <v>12</v>
      </c>
      <c r="B17" s="2" t="s">
        <v>103</v>
      </c>
      <c r="C17" s="2" t="s">
        <v>89</v>
      </c>
      <c r="D17" s="2" t="s">
        <v>57</v>
      </c>
      <c r="E17" s="2" t="s">
        <v>99</v>
      </c>
      <c r="F17" s="2">
        <v>4</v>
      </c>
      <c r="G17" s="2" t="s">
        <v>100</v>
      </c>
      <c r="H17" s="2" t="s">
        <v>104</v>
      </c>
      <c r="I17" s="2" t="s">
        <v>102</v>
      </c>
    </row>
    <row r="18" spans="1:9" x14ac:dyDescent="0.35">
      <c r="A18" s="10">
        <v>13</v>
      </c>
      <c r="B18" s="3" t="s">
        <v>105</v>
      </c>
      <c r="C18" s="3" t="s">
        <v>89</v>
      </c>
      <c r="D18" s="3" t="s">
        <v>57</v>
      </c>
      <c r="E18" s="3" t="s">
        <v>99</v>
      </c>
      <c r="F18" s="3">
        <v>4</v>
      </c>
      <c r="G18" s="3" t="s">
        <v>100</v>
      </c>
      <c r="H18" s="3" t="s">
        <v>106</v>
      </c>
      <c r="I18" s="3" t="s">
        <v>102</v>
      </c>
    </row>
    <row r="19" spans="1:9" x14ac:dyDescent="0.35">
      <c r="A19" s="9">
        <v>14</v>
      </c>
      <c r="B19" s="2" t="s">
        <v>107</v>
      </c>
      <c r="C19" s="2" t="s">
        <v>89</v>
      </c>
      <c r="D19" s="2" t="s">
        <v>57</v>
      </c>
      <c r="E19" s="2" t="s">
        <v>99</v>
      </c>
      <c r="F19" s="2">
        <v>4</v>
      </c>
      <c r="G19" s="2" t="s">
        <v>100</v>
      </c>
      <c r="H19" s="2" t="s">
        <v>108</v>
      </c>
      <c r="I19" s="2" t="s">
        <v>102</v>
      </c>
    </row>
    <row r="20" spans="1:9" x14ac:dyDescent="0.35">
      <c r="A20" s="10">
        <v>15</v>
      </c>
      <c r="B20" s="3" t="s">
        <v>109</v>
      </c>
      <c r="C20" s="3" t="s">
        <v>89</v>
      </c>
      <c r="D20" s="3" t="s">
        <v>57</v>
      </c>
      <c r="E20" s="3" t="s">
        <v>99</v>
      </c>
      <c r="F20" s="3">
        <v>4</v>
      </c>
      <c r="G20" s="3" t="s">
        <v>110</v>
      </c>
      <c r="H20" s="3" t="s">
        <v>111</v>
      </c>
      <c r="I20" s="3"/>
    </row>
    <row r="21" spans="1:9" x14ac:dyDescent="0.35">
      <c r="A21" s="9">
        <v>16</v>
      </c>
      <c r="B21" s="2" t="s">
        <v>112</v>
      </c>
      <c r="C21" s="2" t="s">
        <v>89</v>
      </c>
      <c r="D21" s="2" t="s">
        <v>57</v>
      </c>
      <c r="E21" s="2" t="s">
        <v>99</v>
      </c>
      <c r="F21" s="2">
        <v>4</v>
      </c>
      <c r="G21" s="2" t="s">
        <v>110</v>
      </c>
      <c r="H21" s="2" t="s">
        <v>113</v>
      </c>
      <c r="I21" s="2"/>
    </row>
    <row r="22" spans="1:9" x14ac:dyDescent="0.35">
      <c r="A22" s="10">
        <v>17</v>
      </c>
      <c r="B22" s="3" t="s">
        <v>114</v>
      </c>
      <c r="C22" s="3" t="s">
        <v>89</v>
      </c>
      <c r="D22" s="3" t="s">
        <v>57</v>
      </c>
      <c r="E22" s="3" t="s">
        <v>99</v>
      </c>
      <c r="F22" s="3">
        <v>4</v>
      </c>
      <c r="G22" s="3" t="s">
        <v>110</v>
      </c>
      <c r="H22" s="3" t="s">
        <v>115</v>
      </c>
      <c r="I22" s="3"/>
    </row>
    <row r="23" spans="1:9" x14ac:dyDescent="0.35">
      <c r="A23" s="9">
        <v>18</v>
      </c>
      <c r="B23" s="2" t="s">
        <v>116</v>
      </c>
      <c r="C23" s="2" t="s">
        <v>89</v>
      </c>
      <c r="D23" s="2" t="s">
        <v>57</v>
      </c>
      <c r="E23" s="2" t="s">
        <v>99</v>
      </c>
      <c r="F23" s="2">
        <v>4</v>
      </c>
      <c r="G23" s="2" t="s">
        <v>117</v>
      </c>
      <c r="H23" s="2" t="s">
        <v>118</v>
      </c>
      <c r="I23" s="2"/>
    </row>
    <row r="24" spans="1:9" x14ac:dyDescent="0.35">
      <c r="A24" s="10">
        <v>19</v>
      </c>
      <c r="B24" s="3" t="s">
        <v>119</v>
      </c>
      <c r="C24" s="3" t="s">
        <v>89</v>
      </c>
      <c r="D24" s="3" t="s">
        <v>57</v>
      </c>
      <c r="E24" s="3" t="s">
        <v>99</v>
      </c>
      <c r="F24" s="3">
        <v>4</v>
      </c>
      <c r="G24" s="3" t="s">
        <v>117</v>
      </c>
      <c r="H24" s="3" t="s">
        <v>120</v>
      </c>
      <c r="I24" s="3"/>
    </row>
    <row r="25" spans="1:9" x14ac:dyDescent="0.35">
      <c r="A25" s="9">
        <v>20</v>
      </c>
      <c r="B25" s="2" t="s">
        <v>121</v>
      </c>
      <c r="C25" s="2" t="s">
        <v>89</v>
      </c>
      <c r="D25" s="2" t="s">
        <v>57</v>
      </c>
      <c r="E25" s="2" t="s">
        <v>99</v>
      </c>
      <c r="F25" s="2">
        <v>4</v>
      </c>
      <c r="G25" s="2" t="s">
        <v>117</v>
      </c>
      <c r="H25" s="2" t="s">
        <v>122</v>
      </c>
      <c r="I25" s="2"/>
    </row>
    <row r="26" spans="1:9" x14ac:dyDescent="0.35">
      <c r="A26" s="10">
        <v>21</v>
      </c>
      <c r="B26" s="3" t="s">
        <v>123</v>
      </c>
      <c r="C26" s="3" t="s">
        <v>124</v>
      </c>
      <c r="D26" s="3" t="s">
        <v>57</v>
      </c>
      <c r="E26" s="3" t="s">
        <v>125</v>
      </c>
      <c r="F26" s="3">
        <v>2</v>
      </c>
      <c r="G26" s="3" t="s">
        <v>126</v>
      </c>
      <c r="H26" s="3" t="s">
        <v>127</v>
      </c>
      <c r="I26" s="3"/>
    </row>
    <row r="27" spans="1:9" x14ac:dyDescent="0.35">
      <c r="A27" s="9">
        <v>22</v>
      </c>
      <c r="B27" s="2" t="s">
        <v>128</v>
      </c>
      <c r="C27" s="2" t="s">
        <v>124</v>
      </c>
      <c r="D27" s="2" t="s">
        <v>57</v>
      </c>
      <c r="E27" s="2" t="s">
        <v>125</v>
      </c>
      <c r="F27" s="2">
        <v>2</v>
      </c>
      <c r="G27" s="2" t="s">
        <v>126</v>
      </c>
      <c r="H27" s="2" t="s">
        <v>129</v>
      </c>
      <c r="I27" s="2"/>
    </row>
    <row r="28" spans="1:9" x14ac:dyDescent="0.35">
      <c r="A28" s="10">
        <v>23</v>
      </c>
      <c r="B28" s="3" t="s">
        <v>130</v>
      </c>
      <c r="C28" s="3" t="s">
        <v>124</v>
      </c>
      <c r="D28" s="3" t="s">
        <v>57</v>
      </c>
      <c r="E28" s="3" t="s">
        <v>125</v>
      </c>
      <c r="F28" s="3">
        <v>2</v>
      </c>
      <c r="G28" s="3" t="s">
        <v>126</v>
      </c>
      <c r="H28" s="3" t="s">
        <v>131</v>
      </c>
      <c r="I28" s="3"/>
    </row>
    <row r="29" spans="1:9" ht="24.75" customHeight="1" x14ac:dyDescent="0.35">
      <c r="A29" s="9">
        <v>24</v>
      </c>
      <c r="B29" s="2" t="s">
        <v>132</v>
      </c>
      <c r="C29" s="2" t="s">
        <v>124</v>
      </c>
      <c r="D29" s="2" t="s">
        <v>57</v>
      </c>
      <c r="E29" s="2" t="s">
        <v>125</v>
      </c>
      <c r="F29" s="2">
        <v>2</v>
      </c>
      <c r="G29" s="2" t="s">
        <v>133</v>
      </c>
      <c r="H29" s="2" t="s">
        <v>134</v>
      </c>
      <c r="I29" s="2" t="s">
        <v>135</v>
      </c>
    </row>
    <row r="30" spans="1:9" x14ac:dyDescent="0.35">
      <c r="A30" s="10">
        <v>25</v>
      </c>
      <c r="B30" s="3" t="s">
        <v>136</v>
      </c>
      <c r="C30" s="3" t="s">
        <v>124</v>
      </c>
      <c r="D30" s="3" t="s">
        <v>57</v>
      </c>
      <c r="E30" s="3" t="s">
        <v>125</v>
      </c>
      <c r="F30" s="3">
        <v>2</v>
      </c>
      <c r="G30" s="3" t="s">
        <v>137</v>
      </c>
      <c r="H30" s="3" t="s">
        <v>138</v>
      </c>
      <c r="I30" s="3"/>
    </row>
    <row r="31" spans="1:9" x14ac:dyDescent="0.35">
      <c r="A31" s="9">
        <v>26</v>
      </c>
      <c r="B31" s="2" t="s">
        <v>139</v>
      </c>
      <c r="C31" s="2" t="s">
        <v>124</v>
      </c>
      <c r="D31" s="2" t="s">
        <v>57</v>
      </c>
      <c r="E31" s="2" t="s">
        <v>125</v>
      </c>
      <c r="F31" s="2">
        <v>2</v>
      </c>
      <c r="G31" s="2" t="s">
        <v>137</v>
      </c>
      <c r="H31" s="2" t="s">
        <v>140</v>
      </c>
      <c r="I31" s="2"/>
    </row>
    <row r="32" spans="1:9" x14ac:dyDescent="0.35">
      <c r="A32" s="10">
        <v>27</v>
      </c>
      <c r="B32" s="3" t="s">
        <v>141</v>
      </c>
      <c r="C32" s="3" t="s">
        <v>124</v>
      </c>
      <c r="D32" s="3" t="s">
        <v>57</v>
      </c>
      <c r="E32" s="3" t="s">
        <v>125</v>
      </c>
      <c r="F32" s="3">
        <v>2</v>
      </c>
      <c r="G32" s="3" t="s">
        <v>137</v>
      </c>
      <c r="H32" s="3" t="s">
        <v>142</v>
      </c>
      <c r="I32" s="3"/>
    </row>
    <row r="33" spans="1:9" x14ac:dyDescent="0.35">
      <c r="A33" s="9">
        <v>28</v>
      </c>
      <c r="B33" s="2" t="s">
        <v>143</v>
      </c>
      <c r="C33" s="2" t="s">
        <v>124</v>
      </c>
      <c r="D33" s="2" t="s">
        <v>57</v>
      </c>
      <c r="E33" s="2" t="s">
        <v>125</v>
      </c>
      <c r="F33" s="2">
        <v>2</v>
      </c>
      <c r="G33" s="2" t="s">
        <v>144</v>
      </c>
      <c r="H33" s="2" t="s">
        <v>145</v>
      </c>
      <c r="I33" s="2"/>
    </row>
    <row r="34" spans="1:9" x14ac:dyDescent="0.35">
      <c r="A34" s="10">
        <v>29</v>
      </c>
      <c r="B34" s="3" t="s">
        <v>146</v>
      </c>
      <c r="C34" s="3" t="s">
        <v>124</v>
      </c>
      <c r="D34" s="3" t="s">
        <v>57</v>
      </c>
      <c r="E34" s="3" t="s">
        <v>125</v>
      </c>
      <c r="F34" s="3">
        <v>2</v>
      </c>
      <c r="G34" s="3" t="s">
        <v>144</v>
      </c>
      <c r="H34" s="3" t="s">
        <v>147</v>
      </c>
      <c r="I34" s="3"/>
    </row>
    <row r="35" spans="1:9" x14ac:dyDescent="0.35">
      <c r="A35" s="9">
        <v>30</v>
      </c>
      <c r="B35" s="2" t="s">
        <v>148</v>
      </c>
      <c r="C35" s="2" t="s">
        <v>124</v>
      </c>
      <c r="D35" s="2" t="s">
        <v>57</v>
      </c>
      <c r="E35" s="2" t="s">
        <v>125</v>
      </c>
      <c r="F35" s="2">
        <v>2</v>
      </c>
      <c r="G35" s="2" t="s">
        <v>144</v>
      </c>
      <c r="H35" s="2" t="s">
        <v>149</v>
      </c>
      <c r="I35" s="2"/>
    </row>
    <row r="36" spans="1:9" x14ac:dyDescent="0.35">
      <c r="A36" s="10">
        <v>31</v>
      </c>
      <c r="B36" s="3" t="s">
        <v>150</v>
      </c>
      <c r="C36" s="3" t="s">
        <v>124</v>
      </c>
      <c r="D36" s="3" t="s">
        <v>57</v>
      </c>
      <c r="E36" s="3" t="s">
        <v>151</v>
      </c>
      <c r="F36" s="3">
        <v>3</v>
      </c>
      <c r="G36" s="3" t="s">
        <v>152</v>
      </c>
      <c r="H36" s="3" t="s">
        <v>153</v>
      </c>
      <c r="I36" s="3" t="s">
        <v>154</v>
      </c>
    </row>
    <row r="37" spans="1:9" x14ac:dyDescent="0.35">
      <c r="A37" s="9">
        <v>32</v>
      </c>
      <c r="B37" s="2" t="s">
        <v>155</v>
      </c>
      <c r="C37" s="2" t="s">
        <v>124</v>
      </c>
      <c r="D37" s="2" t="s">
        <v>57</v>
      </c>
      <c r="E37" s="2" t="s">
        <v>125</v>
      </c>
      <c r="F37" s="2">
        <v>2</v>
      </c>
      <c r="G37" s="2" t="s">
        <v>156</v>
      </c>
      <c r="H37" s="2" t="s">
        <v>157</v>
      </c>
      <c r="I37" s="2"/>
    </row>
    <row r="38" spans="1:9" x14ac:dyDescent="0.35">
      <c r="A38" s="10">
        <v>33</v>
      </c>
      <c r="B38" s="3" t="s">
        <v>158</v>
      </c>
      <c r="C38" s="3" t="s">
        <v>124</v>
      </c>
      <c r="D38" s="3" t="s">
        <v>57</v>
      </c>
      <c r="E38" s="3" t="s">
        <v>99</v>
      </c>
      <c r="F38" s="3">
        <v>4</v>
      </c>
      <c r="G38" s="3" t="s">
        <v>159</v>
      </c>
      <c r="H38" s="3" t="s">
        <v>160</v>
      </c>
      <c r="I38" s="3" t="s">
        <v>161</v>
      </c>
    </row>
    <row r="39" spans="1:9" x14ac:dyDescent="0.35">
      <c r="A39" s="9">
        <v>34</v>
      </c>
      <c r="B39" s="2" t="s">
        <v>162</v>
      </c>
      <c r="C39" s="2" t="s">
        <v>124</v>
      </c>
      <c r="D39" s="2" t="s">
        <v>57</v>
      </c>
      <c r="E39" s="2" t="s">
        <v>90</v>
      </c>
      <c r="F39" s="2">
        <v>3</v>
      </c>
      <c r="G39" s="2" t="s">
        <v>163</v>
      </c>
      <c r="H39" s="2" t="s">
        <v>164</v>
      </c>
      <c r="I39" s="2"/>
    </row>
    <row r="40" spans="1:9" x14ac:dyDescent="0.35">
      <c r="A40" s="10">
        <v>35</v>
      </c>
      <c r="B40" s="3" t="s">
        <v>165</v>
      </c>
      <c r="C40" s="3" t="s">
        <v>124</v>
      </c>
      <c r="D40" s="3" t="s">
        <v>57</v>
      </c>
      <c r="E40" s="3" t="s">
        <v>90</v>
      </c>
      <c r="F40" s="3">
        <v>3</v>
      </c>
      <c r="G40" s="3" t="s">
        <v>163</v>
      </c>
      <c r="H40" s="3" t="s">
        <v>166</v>
      </c>
      <c r="I40" s="3"/>
    </row>
    <row r="41" spans="1:9" x14ac:dyDescent="0.35">
      <c r="A41" s="9">
        <v>36</v>
      </c>
      <c r="B41" s="2" t="s">
        <v>167</v>
      </c>
      <c r="C41" s="2" t="s">
        <v>124</v>
      </c>
      <c r="D41" s="2" t="s">
        <v>57</v>
      </c>
      <c r="E41" s="2" t="s">
        <v>63</v>
      </c>
      <c r="F41" s="2">
        <v>4</v>
      </c>
      <c r="G41" s="2" t="s">
        <v>168</v>
      </c>
      <c r="H41" s="2" t="s">
        <v>169</v>
      </c>
      <c r="I41" s="2"/>
    </row>
    <row r="42" spans="1:9" x14ac:dyDescent="0.35">
      <c r="A42" s="10">
        <v>37</v>
      </c>
      <c r="B42" s="3" t="s">
        <v>170</v>
      </c>
      <c r="C42" s="3" t="s">
        <v>124</v>
      </c>
      <c r="D42" s="3" t="s">
        <v>57</v>
      </c>
      <c r="E42" s="3" t="s">
        <v>99</v>
      </c>
      <c r="F42" s="3">
        <v>4</v>
      </c>
      <c r="G42" s="3" t="s">
        <v>171</v>
      </c>
      <c r="H42" s="3" t="s">
        <v>172</v>
      </c>
      <c r="I42" s="3"/>
    </row>
    <row r="43" spans="1:9" ht="24.75" customHeight="1" x14ac:dyDescent="0.35">
      <c r="A43" s="9">
        <v>38</v>
      </c>
      <c r="B43" s="2" t="s">
        <v>173</v>
      </c>
      <c r="C43" s="2" t="s">
        <v>174</v>
      </c>
      <c r="D43" s="2" t="s">
        <v>79</v>
      </c>
      <c r="E43" s="2" t="s">
        <v>175</v>
      </c>
      <c r="F43" s="2">
        <v>1</v>
      </c>
      <c r="G43" s="2" t="s">
        <v>176</v>
      </c>
      <c r="H43" s="2" t="s">
        <v>177</v>
      </c>
      <c r="I43" s="2" t="s">
        <v>178</v>
      </c>
    </row>
    <row r="44" spans="1:9" ht="24.75" customHeight="1" x14ac:dyDescent="0.35">
      <c r="A44" s="10">
        <v>39</v>
      </c>
      <c r="B44" s="3" t="s">
        <v>179</v>
      </c>
      <c r="C44" s="3" t="s">
        <v>174</v>
      </c>
      <c r="D44" s="3" t="s">
        <v>79</v>
      </c>
      <c r="E44" s="3" t="s">
        <v>175</v>
      </c>
      <c r="F44" s="3">
        <v>1</v>
      </c>
      <c r="G44" s="3" t="s">
        <v>176</v>
      </c>
      <c r="H44" s="3" t="s">
        <v>180</v>
      </c>
      <c r="I44" s="3" t="s">
        <v>178</v>
      </c>
    </row>
    <row r="45" spans="1:9" ht="24.75" customHeight="1" x14ac:dyDescent="0.35">
      <c r="A45" s="9">
        <v>40</v>
      </c>
      <c r="B45" s="2" t="s">
        <v>181</v>
      </c>
      <c r="C45" s="2" t="s">
        <v>174</v>
      </c>
      <c r="D45" s="2" t="s">
        <v>79</v>
      </c>
      <c r="E45" s="2" t="s">
        <v>175</v>
      </c>
      <c r="F45" s="2">
        <v>1</v>
      </c>
      <c r="G45" s="2" t="s">
        <v>176</v>
      </c>
      <c r="H45" s="2" t="s">
        <v>182</v>
      </c>
      <c r="I45" s="2" t="s">
        <v>178</v>
      </c>
    </row>
    <row r="46" spans="1:9" x14ac:dyDescent="0.35">
      <c r="A46" s="10">
        <v>41</v>
      </c>
      <c r="B46" s="3" t="s">
        <v>183</v>
      </c>
      <c r="C46" s="3" t="s">
        <v>184</v>
      </c>
      <c r="D46" s="3" t="s">
        <v>185</v>
      </c>
      <c r="E46" s="3" t="s">
        <v>186</v>
      </c>
      <c r="F46" s="3">
        <v>2</v>
      </c>
      <c r="G46" s="3" t="s">
        <v>187</v>
      </c>
      <c r="H46" s="3" t="s">
        <v>188</v>
      </c>
      <c r="I46" s="3"/>
    </row>
    <row r="47" spans="1:9" x14ac:dyDescent="0.35">
      <c r="A47" s="9">
        <v>42</v>
      </c>
      <c r="B47" s="2" t="s">
        <v>189</v>
      </c>
      <c r="C47" s="2" t="s">
        <v>190</v>
      </c>
      <c r="D47" s="2" t="s">
        <v>191</v>
      </c>
      <c r="E47" s="2" t="s">
        <v>58</v>
      </c>
      <c r="F47" s="2">
        <v>2</v>
      </c>
      <c r="G47" s="2" t="s">
        <v>192</v>
      </c>
      <c r="H47" s="2" t="s">
        <v>193</v>
      </c>
      <c r="I47" s="2" t="s">
        <v>194</v>
      </c>
    </row>
    <row r="48" spans="1:9" x14ac:dyDescent="0.35">
      <c r="A48" s="10">
        <v>43</v>
      </c>
      <c r="B48" s="3" t="s">
        <v>195</v>
      </c>
      <c r="C48" s="3" t="s">
        <v>190</v>
      </c>
      <c r="D48" s="3" t="s">
        <v>191</v>
      </c>
      <c r="E48" s="3" t="s">
        <v>63</v>
      </c>
      <c r="F48" s="3">
        <v>4</v>
      </c>
      <c r="G48" s="3" t="s">
        <v>196</v>
      </c>
      <c r="H48" s="3" t="s">
        <v>197</v>
      </c>
      <c r="I48" s="3" t="s">
        <v>198</v>
      </c>
    </row>
  </sheetData>
  <autoFilter ref="A4:I48" xr:uid="{00000000-0009-0000-0000-000001000000}"/>
  <mergeCells count="2">
    <mergeCell ref="A1:I1"/>
    <mergeCell ref="A2:I2"/>
  </mergeCells>
  <pageMargins left="0.75" right="0.75" top="1" bottom="1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4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20" sqref="E20"/>
    </sheetView>
  </sheetViews>
  <sheetFormatPr defaultColWidth="8.6328125" defaultRowHeight="14.5" x14ac:dyDescent="0.35"/>
  <cols>
    <col min="1" max="1" width="12" customWidth="1"/>
    <col min="2" max="2" width="18" customWidth="1"/>
    <col min="3" max="3" width="22" customWidth="1"/>
    <col min="4" max="4" width="16" customWidth="1"/>
    <col min="5" max="5" width="64" customWidth="1"/>
    <col min="6" max="6" width="9" customWidth="1"/>
    <col min="7" max="7" width="12" customWidth="1"/>
    <col min="8" max="9" width="11" customWidth="1"/>
    <col min="10" max="11" width="14" customWidth="1"/>
    <col min="12" max="12" width="12" customWidth="1"/>
    <col min="13" max="13" width="34" customWidth="1"/>
    <col min="14" max="14" width="58" customWidth="1"/>
    <col min="15" max="15" width="14" customWidth="1"/>
    <col min="16" max="16" width="24" customWidth="1"/>
  </cols>
  <sheetData>
    <row r="1" spans="1:16" ht="27.75" customHeight="1" x14ac:dyDescent="0.35">
      <c r="A1" s="24" t="s">
        <v>199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6" ht="45" customHeight="1" x14ac:dyDescent="0.35">
      <c r="A2" s="25" t="s">
        <v>200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4" spans="1:16" ht="42" customHeight="1" x14ac:dyDescent="0.35">
      <c r="A4" s="11" t="s">
        <v>201</v>
      </c>
      <c r="B4" s="11" t="s">
        <v>202</v>
      </c>
      <c r="C4" s="11" t="s">
        <v>203</v>
      </c>
      <c r="D4" s="11" t="s">
        <v>204</v>
      </c>
      <c r="E4" s="11" t="s">
        <v>205</v>
      </c>
      <c r="F4" s="1" t="s">
        <v>206</v>
      </c>
      <c r="G4" s="1" t="s">
        <v>207</v>
      </c>
      <c r="H4" s="1" t="s">
        <v>42</v>
      </c>
      <c r="I4" s="1" t="s">
        <v>208</v>
      </c>
      <c r="J4" s="1" t="s">
        <v>209</v>
      </c>
      <c r="K4" s="1" t="s">
        <v>210</v>
      </c>
      <c r="L4" s="1" t="s">
        <v>44</v>
      </c>
      <c r="M4" s="1" t="s">
        <v>211</v>
      </c>
      <c r="N4" s="11" t="s">
        <v>54</v>
      </c>
      <c r="O4" s="12" t="s">
        <v>212</v>
      </c>
      <c r="P4" s="12" t="s">
        <v>213</v>
      </c>
    </row>
    <row r="5" spans="1:16" x14ac:dyDescent="0.35">
      <c r="A5" s="13" t="s">
        <v>214</v>
      </c>
      <c r="B5" s="14" t="s">
        <v>215</v>
      </c>
      <c r="C5" s="14" t="s">
        <v>216</v>
      </c>
      <c r="D5" s="14" t="s">
        <v>217</v>
      </c>
      <c r="E5" s="13" t="s">
        <v>218</v>
      </c>
      <c r="F5" s="15">
        <f t="shared" ref="F5:F34" si="0">IF($A5="","",IF($P5="",0,LEN($P5)-LEN(SUBSTITUTE($P5,",",""))+1))</f>
        <v>8</v>
      </c>
      <c r="G5" s="15">
        <f>IF($A5="","",SUMIFS(Packets!$G$5:$G$404,Packets!$L$5:$L$404,ROWS($A$5:$A5),Packets!$C$5:$C$404,"&lt;="&amp;$F5))</f>
        <v>21</v>
      </c>
      <c r="H5" s="15">
        <f>IF($A5="","",Overview!$B$27)</f>
        <v>1</v>
      </c>
      <c r="I5" s="15">
        <f>IF($A5="","",Overview!$B$26)</f>
        <v>1</v>
      </c>
      <c r="J5" s="15">
        <f t="shared" ref="J5:J34" si="1">IF($A5="","",G5+H5+I5)</f>
        <v>23</v>
      </c>
      <c r="K5" s="15">
        <f>IF($A5="","",ROUNDUP(J5/Overview!$B$28,0))</f>
        <v>3</v>
      </c>
      <c r="L5" s="15">
        <f>IF($A5="","",Overview!$B$29)</f>
        <v>0</v>
      </c>
      <c r="M5" s="2" t="str">
        <f>IF(AND($A5="",$E5=""),"",IF($A5="","Enter a Packet ID",IF(COUNTIF($A$5:$A$34,$A5)&gt;1,"Duplicate Packet ID",IF($F5=0,"No Field IDs entered",IF(SUMPRODUCT(--ISNUMBER(FIND(","&amp;Fields!$A$5:$A$48&amp;",",","&amp;$P5&amp;",")))&lt;&gt;$F5,"Check Field IDs: unknown, blank, or repeated",IF(COUNTIFS(Packets!$L$5:$L$404,ROWS($A$5:$A5),Packets!$D$5:$D$404,"ERR")+COUNTIFS(Packets!$L$5:$L$404,ROWS($A$5:$A5),Packets!$E$5:$E$404,"MISSING")&gt;0,"Layout error: see Packets tab",IF($O5&gt;ROWS(Packets!$A$5:$A$404),"Exceeds Packets tab capacity","OK")))))))</f>
        <v>OK</v>
      </c>
      <c r="N5" s="14" t="s">
        <v>219</v>
      </c>
      <c r="O5" s="16">
        <f>SUM($F$5:$F5)+COUNTA($A$5:$A5)</f>
        <v>9</v>
      </c>
      <c r="P5" s="16" t="str">
        <f t="shared" ref="P5:P34" si="2">SUBSTITUTE($E5," ","")</f>
        <v>0,1,8,9,10,28,29,30</v>
      </c>
    </row>
    <row r="6" spans="1:16" x14ac:dyDescent="0.35">
      <c r="A6" s="17" t="s">
        <v>220</v>
      </c>
      <c r="B6" s="18" t="s">
        <v>221</v>
      </c>
      <c r="C6" s="18" t="s">
        <v>216</v>
      </c>
      <c r="D6" s="18" t="s">
        <v>222</v>
      </c>
      <c r="E6" s="17" t="s">
        <v>223</v>
      </c>
      <c r="F6" s="19">
        <f t="shared" si="0"/>
        <v>17</v>
      </c>
      <c r="G6" s="19">
        <f>IF($A6="","",SUMIFS(Packets!$G$5:$G$404,Packets!$L$5:$L$404,ROWS($A$5:$A6),Packets!$C$5:$C$404,"&lt;="&amp;$F6))</f>
        <v>62</v>
      </c>
      <c r="H6" s="19">
        <f>IF($A6="","",Overview!$B$27)</f>
        <v>1</v>
      </c>
      <c r="I6" s="19">
        <f>IF($A6="","",Overview!$B$26)</f>
        <v>1</v>
      </c>
      <c r="J6" s="19">
        <f t="shared" si="1"/>
        <v>64</v>
      </c>
      <c r="K6" s="19">
        <f>IF($A6="","",ROUNDUP(J6/Overview!$B$28,0))</f>
        <v>8</v>
      </c>
      <c r="L6" s="19">
        <f>IF($A6="","",Overview!$B$29)</f>
        <v>0</v>
      </c>
      <c r="M6" s="3" t="str">
        <f>IF(AND($A6="",$E6=""),"",IF($A6="","Enter a Packet ID",IF(COUNTIF($A$5:$A$34,$A6)&gt;1,"Duplicate Packet ID",IF($F6=0,"No Field IDs entered",IF(SUMPRODUCT(--ISNUMBER(FIND(","&amp;Fields!$A$5:$A$48&amp;",",","&amp;$P6&amp;",")))&lt;&gt;$F6,"Check Field IDs: unknown, blank, or repeated",IF(COUNTIFS(Packets!$L$5:$L$404,ROWS($A$5:$A6),Packets!$D$5:$D$404,"ERR")+COUNTIFS(Packets!$L$5:$L$404,ROWS($A$5:$A6),Packets!$E$5:$E$404,"MISSING")&gt;0,"Layout error: see Packets tab",IF($O6&gt;ROWS(Packets!$A$5:$A$404),"Exceeds Packets tab capacity","OK")))))))</f>
        <v>OK</v>
      </c>
      <c r="N6" s="18" t="s">
        <v>224</v>
      </c>
      <c r="O6" s="20">
        <f>SUM($F$5:$F6)+COUNTA($A$5:$A6)</f>
        <v>27</v>
      </c>
      <c r="P6" s="20" t="str">
        <f t="shared" si="2"/>
        <v>0,1,11,12,13,14,15,16,17,18,19,20,34,35,37,33,3</v>
      </c>
    </row>
    <row r="7" spans="1:16" x14ac:dyDescent="0.35">
      <c r="A7" s="13" t="s">
        <v>225</v>
      </c>
      <c r="B7" s="14" t="s">
        <v>226</v>
      </c>
      <c r="C7" s="14" t="s">
        <v>227</v>
      </c>
      <c r="D7" s="14" t="s">
        <v>228</v>
      </c>
      <c r="E7" s="13" t="s">
        <v>229</v>
      </c>
      <c r="F7" s="15">
        <f t="shared" si="0"/>
        <v>8</v>
      </c>
      <c r="G7" s="15">
        <f>IF($A7="","",SUMIFS(Packets!$G$5:$G$404,Packets!$L$5:$L$404,ROWS($A$5:$A7),Packets!$C$5:$C$404,"&lt;="&amp;$F7))</f>
        <v>17</v>
      </c>
      <c r="H7" s="15">
        <f>IF($A7="","",Overview!$B$27)</f>
        <v>1</v>
      </c>
      <c r="I7" s="15">
        <f>IF($A7="","",Overview!$B$26)</f>
        <v>1</v>
      </c>
      <c r="J7" s="15">
        <f t="shared" si="1"/>
        <v>19</v>
      </c>
      <c r="K7" s="15">
        <f>IF($A7="","",ROUNDUP(J7/Overview!$B$28,0))</f>
        <v>3</v>
      </c>
      <c r="L7" s="15">
        <f>IF($A7="","",Overview!$B$29)</f>
        <v>0</v>
      </c>
      <c r="M7" s="2" t="str">
        <f>IF(AND($A7="",$E7=""),"",IF($A7="","Enter a Packet ID",IF(COUNTIF($A$5:$A$34,$A7)&gt;1,"Duplicate Packet ID",IF($F7=0,"No Field IDs entered",IF(SUMPRODUCT(--ISNUMBER(FIND(","&amp;Fields!$A$5:$A$48&amp;",",","&amp;$P7&amp;",")))&lt;&gt;$F7,"Check Field IDs: unknown, blank, or repeated",IF(COUNTIFS(Packets!$L$5:$L$404,ROWS($A$5:$A7),Packets!$D$5:$D$404,"ERR")+COUNTIFS(Packets!$L$5:$L$404,ROWS($A$5:$A7),Packets!$E$5:$E$404,"MISSING")&gt;0,"Layout error: see Packets tab",IF($O7&gt;ROWS(Packets!$A$5:$A$404),"Exceeds Packets tab capacity","OK")))))))</f>
        <v>OK</v>
      </c>
      <c r="N7" s="14" t="s">
        <v>230</v>
      </c>
      <c r="O7" s="16">
        <f>SUM($F$5:$F7)+COUNTA($A$5:$A7)</f>
        <v>36</v>
      </c>
      <c r="P7" s="16" t="str">
        <f t="shared" si="2"/>
        <v>0,1,5,4,38,39,40,7</v>
      </c>
    </row>
    <row r="8" spans="1:16" x14ac:dyDescent="0.35">
      <c r="A8" s="17" t="s">
        <v>231</v>
      </c>
      <c r="B8" s="18" t="s">
        <v>183</v>
      </c>
      <c r="C8" s="18" t="s">
        <v>232</v>
      </c>
      <c r="D8" s="18" t="s">
        <v>233</v>
      </c>
      <c r="E8" s="17" t="s">
        <v>234</v>
      </c>
      <c r="F8" s="19">
        <f t="shared" si="0"/>
        <v>3</v>
      </c>
      <c r="G8" s="19">
        <f>IF($A8="","",SUMIFS(Packets!$G$5:$G$404,Packets!$L$5:$L$404,ROWS($A$5:$A8),Packets!$C$5:$C$404,"&lt;="&amp;$F8))</f>
        <v>8</v>
      </c>
      <c r="H8" s="19">
        <f>IF($A8="","",Overview!$B$27)</f>
        <v>1</v>
      </c>
      <c r="I8" s="19">
        <f>IF($A8="","",Overview!$B$26)</f>
        <v>1</v>
      </c>
      <c r="J8" s="19">
        <f t="shared" si="1"/>
        <v>10</v>
      </c>
      <c r="K8" s="19">
        <f>IF($A8="","",ROUNDUP(J8/Overview!$B$28,0))</f>
        <v>2</v>
      </c>
      <c r="L8" s="19">
        <f>IF($A8="","",Overview!$B$29)</f>
        <v>0</v>
      </c>
      <c r="M8" s="3" t="str">
        <f>IF(AND($A8="",$E8=""),"",IF($A8="","Enter a Packet ID",IF(COUNTIF($A$5:$A$34,$A8)&gt;1,"Duplicate Packet ID",IF($F8=0,"No Field IDs entered",IF(SUMPRODUCT(--ISNUMBER(FIND(","&amp;Fields!$A$5:$A$48&amp;",",","&amp;$P8&amp;",")))&lt;&gt;$F8,"Check Field IDs: unknown, blank, or repeated",IF(COUNTIFS(Packets!$L$5:$L$404,ROWS($A$5:$A8),Packets!$D$5:$D$404,"ERR")+COUNTIFS(Packets!$L$5:$L$404,ROWS($A$5:$A8),Packets!$E$5:$E$404,"MISSING")&gt;0,"Layout error: see Packets tab",IF($O8&gt;ROWS(Packets!$A$5:$A$404),"Exceeds Packets tab capacity","OK")))))))</f>
        <v>OK</v>
      </c>
      <c r="N8" s="18" t="s">
        <v>235</v>
      </c>
      <c r="O8" s="20">
        <f>SUM($F$5:$F8)+COUNTA($A$5:$A8)</f>
        <v>40</v>
      </c>
      <c r="P8" s="20" t="str">
        <f t="shared" si="2"/>
        <v>42,43,41</v>
      </c>
    </row>
    <row r="9" spans="1:16" x14ac:dyDescent="0.35">
      <c r="A9" s="13" t="s">
        <v>236</v>
      </c>
      <c r="B9" s="14" t="s">
        <v>237</v>
      </c>
      <c r="C9" s="14" t="s">
        <v>238</v>
      </c>
      <c r="D9" s="14" t="s">
        <v>239</v>
      </c>
      <c r="E9" s="13" t="s">
        <v>240</v>
      </c>
      <c r="F9" s="15">
        <f t="shared" si="0"/>
        <v>2</v>
      </c>
      <c r="G9" s="15">
        <f>IF($A9="","",SUMIFS(Packets!$G$5:$G$404,Packets!$L$5:$L$404,ROWS($A$5:$A9),Packets!$C$5:$C$404,"&lt;="&amp;$F9))</f>
        <v>6</v>
      </c>
      <c r="H9" s="15">
        <f>IF($A9="","",Overview!$B$27)</f>
        <v>1</v>
      </c>
      <c r="I9" s="15">
        <f>IF($A9="","",Overview!$B$26)</f>
        <v>1</v>
      </c>
      <c r="J9" s="15">
        <f t="shared" si="1"/>
        <v>8</v>
      </c>
      <c r="K9" s="15">
        <f>IF($A9="","",ROUNDUP(J9/Overview!$B$28,0))</f>
        <v>1</v>
      </c>
      <c r="L9" s="15">
        <f>IF($A9="","",Overview!$B$29)</f>
        <v>0</v>
      </c>
      <c r="M9" s="2" t="str">
        <f>IF(AND($A9="",$E9=""),"",IF($A9="","Enter a Packet ID",IF(COUNTIF($A$5:$A$34,$A9)&gt;1,"Duplicate Packet ID",IF($F9=0,"No Field IDs entered",IF(SUMPRODUCT(--ISNUMBER(FIND(","&amp;Fields!$A$5:$A$48&amp;",",","&amp;$P9&amp;",")))&lt;&gt;$F9,"Check Field IDs: unknown, blank, or repeated",IF(COUNTIFS(Packets!$L$5:$L$404,ROWS($A$5:$A9),Packets!$D$5:$D$404,"ERR")+COUNTIFS(Packets!$L$5:$L$404,ROWS($A$5:$A9),Packets!$E$5:$E$404,"MISSING")&gt;0,"Layout error: see Packets tab",IF($O9&gt;ROWS(Packets!$A$5:$A$404),"Exceeds Packets tab capacity","OK")))))))</f>
        <v>OK</v>
      </c>
      <c r="N9" s="14" t="s">
        <v>241</v>
      </c>
      <c r="O9" s="16">
        <f>SUM($F$5:$F9)+COUNTA($A$5:$A9)</f>
        <v>43</v>
      </c>
      <c r="P9" s="16" t="str">
        <f t="shared" si="2"/>
        <v>42,43</v>
      </c>
    </row>
    <row r="10" spans="1:16" ht="25" x14ac:dyDescent="0.35">
      <c r="A10" s="17" t="s">
        <v>242</v>
      </c>
      <c r="B10" s="18" t="s">
        <v>243</v>
      </c>
      <c r="C10" s="18" t="s">
        <v>216</v>
      </c>
      <c r="D10" s="18" t="s">
        <v>217</v>
      </c>
      <c r="E10" s="17" t="s">
        <v>244</v>
      </c>
      <c r="F10" s="19">
        <f t="shared" si="0"/>
        <v>34</v>
      </c>
      <c r="G10" s="19">
        <f>IF($A10="","",SUMIFS(Packets!$G$5:$G$404,Packets!$L$5:$L$404,ROWS($A$5:$A10),Packets!$C$5:$C$404,"&lt;="&amp;$F10))</f>
        <v>101</v>
      </c>
      <c r="H10" s="19">
        <f>IF($A10="","",Overview!$B$27)</f>
        <v>1</v>
      </c>
      <c r="I10" s="19">
        <f>IF($A10="","",Overview!$B$26)</f>
        <v>1</v>
      </c>
      <c r="J10" s="19">
        <f t="shared" si="1"/>
        <v>103</v>
      </c>
      <c r="K10" s="19">
        <f>IF($A10="","",ROUNDUP(J10/Overview!$B$28,0))</f>
        <v>13</v>
      </c>
      <c r="L10" s="19">
        <f>IF($A10="","",Overview!$B$29)</f>
        <v>0</v>
      </c>
      <c r="M10" s="3" t="str">
        <f>IF(AND($A10="",$E10=""),"",IF($A10="","Enter a Packet ID",IF(COUNTIF($A$5:$A$34,$A10)&gt;1,"Duplicate Packet ID",IF($F10=0,"No Field IDs entered",IF(SUMPRODUCT(--ISNUMBER(FIND(","&amp;Fields!$A$5:$A$48&amp;",",","&amp;$P10&amp;",")))&lt;&gt;$F10,"Check Field IDs: unknown, blank, or repeated",IF(COUNTIFS(Packets!$L$5:$L$404,ROWS($A$5:$A10),Packets!$D$5:$D$404,"ERR")+COUNTIFS(Packets!$L$5:$L$404,ROWS($A$5:$A10),Packets!$E$5:$E$404,"MISSING")&gt;0,"Layout error: see Packets tab",IF($O10&gt;ROWS(Packets!$A$5:$A$404),"Exceeds Packets tab capacity","OK")))))))</f>
        <v>OK</v>
      </c>
      <c r="N10" s="18" t="s">
        <v>245</v>
      </c>
      <c r="O10" s="20">
        <f>SUM($F$5:$F10)+COUNTA($A$5:$A10)</f>
        <v>78</v>
      </c>
      <c r="P10" s="20" t="str">
        <f t="shared" si="2"/>
        <v>0,1,2,3,8,9,10,11,12,13,14,15,16,17,18,19,20,21,22,23,24,25,26,27,28,29,30,31,32,33,34,35,36,37</v>
      </c>
    </row>
    <row r="11" spans="1:16" ht="25" x14ac:dyDescent="0.35">
      <c r="A11" s="13" t="s">
        <v>246</v>
      </c>
      <c r="B11" s="14" t="s">
        <v>247</v>
      </c>
      <c r="C11" s="14" t="s">
        <v>248</v>
      </c>
      <c r="D11" s="14" t="s">
        <v>217</v>
      </c>
      <c r="E11" s="13" t="s">
        <v>249</v>
      </c>
      <c r="F11" s="15">
        <f t="shared" si="0"/>
        <v>7</v>
      </c>
      <c r="G11" s="15">
        <f>IF($A11="","",SUMIFS(Packets!$G$5:$G$404,Packets!$L$5:$L$404,ROWS($A$5:$A11),Packets!$C$5:$C$404,"&lt;="&amp;$F11))</f>
        <v>12</v>
      </c>
      <c r="H11" s="15">
        <f>IF($A11="","",Overview!$B$27)</f>
        <v>1</v>
      </c>
      <c r="I11" s="15">
        <f>IF($A11="","",Overview!$B$26)</f>
        <v>1</v>
      </c>
      <c r="J11" s="15">
        <f t="shared" si="1"/>
        <v>14</v>
      </c>
      <c r="K11" s="15">
        <f>IF($A11="","",ROUNDUP(J11/Overview!$B$28,0))</f>
        <v>2</v>
      </c>
      <c r="L11" s="15">
        <f>IF($A11="","",Overview!$B$29)</f>
        <v>0</v>
      </c>
      <c r="M11" s="2" t="str">
        <f>IF(AND($A11="",$E11=""),"",IF($A11="","Enter a Packet ID",IF(COUNTIF($A$5:$A$34,$A11)&gt;1,"Duplicate Packet ID",IF($F11=0,"No Field IDs entered",IF(SUMPRODUCT(--ISNUMBER(FIND(","&amp;Fields!$A$5:$A$48&amp;",",","&amp;$P11&amp;",")))&lt;&gt;$F11,"Check Field IDs: unknown, blank, or repeated",IF(COUNTIFS(Packets!$L$5:$L$404,ROWS($A$5:$A11),Packets!$D$5:$D$404,"ERR")+COUNTIFS(Packets!$L$5:$L$404,ROWS($A$5:$A11),Packets!$E$5:$E$404,"MISSING")&gt;0,"Layout error: see Packets tab",IF($O11&gt;ROWS(Packets!$A$5:$A$404),"Exceeds Packets tab capacity","OK")))))))</f>
        <v>OK</v>
      </c>
      <c r="N11" s="14" t="s">
        <v>250</v>
      </c>
      <c r="O11" s="16">
        <f>SUM($F$5:$F11)+COUNTA($A$5:$A11)</f>
        <v>86</v>
      </c>
      <c r="P11" s="16" t="str">
        <f t="shared" si="2"/>
        <v>5,4,6,7,38,39,40</v>
      </c>
    </row>
    <row r="12" spans="1:16" x14ac:dyDescent="0.35">
      <c r="A12" s="17"/>
      <c r="B12" s="18"/>
      <c r="C12" s="18"/>
      <c r="D12" s="18"/>
      <c r="E12" s="17"/>
      <c r="F12" s="19" t="str">
        <f t="shared" si="0"/>
        <v/>
      </c>
      <c r="G12" s="19" t="str">
        <f>IF($A12="","",SUMIFS(Packets!$G$5:$G$404,Packets!$L$5:$L$404,ROWS($A$5:$A12),Packets!$C$5:$C$404,"&lt;="&amp;$F12))</f>
        <v/>
      </c>
      <c r="H12" s="19" t="str">
        <f>IF($A12="","",Overview!$B$27)</f>
        <v/>
      </c>
      <c r="I12" s="19" t="str">
        <f>IF($A12="","",Overview!$B$26)</f>
        <v/>
      </c>
      <c r="J12" s="19" t="str">
        <f t="shared" si="1"/>
        <v/>
      </c>
      <c r="K12" s="19" t="str">
        <f>IF($A12="","",ROUNDUP(J12/Overview!$B$28,0))</f>
        <v/>
      </c>
      <c r="L12" s="19" t="str">
        <f>IF($A12="","",Overview!$B$29)</f>
        <v/>
      </c>
      <c r="M12" s="3" t="str">
        <f>IF(AND($A12="",$E12=""),"",IF($A12="","Enter a Packet ID",IF(COUNTIF($A$5:$A$34,$A12)&gt;1,"Duplicate Packet ID",IF($F12=0,"No Field IDs entered",IF(SUMPRODUCT(--ISNUMBER(FIND(","&amp;Fields!$A$5:$A$48&amp;",",","&amp;$P12&amp;",")))&lt;&gt;$F12,"Check Field IDs: unknown, blank, or repeated",IF(COUNTIFS(Packets!$L$5:$L$404,ROWS($A$5:$A12),Packets!$D$5:$D$404,"ERR")+COUNTIFS(Packets!$L$5:$L$404,ROWS($A$5:$A12),Packets!$E$5:$E$404,"MISSING")&gt;0,"Layout error: see Packets tab",IF($O12&gt;ROWS(Packets!$A$5:$A$404),"Exceeds Packets tab capacity","OK")))))))</f>
        <v/>
      </c>
      <c r="N12" s="18"/>
      <c r="O12" s="20">
        <f>SUM($F$5:$F12)+COUNTA($A$5:$A12)</f>
        <v>86</v>
      </c>
      <c r="P12" s="20" t="str">
        <f t="shared" si="2"/>
        <v/>
      </c>
    </row>
    <row r="13" spans="1:16" x14ac:dyDescent="0.35">
      <c r="A13" s="13"/>
      <c r="B13" s="14"/>
      <c r="C13" s="14"/>
      <c r="D13" s="14"/>
      <c r="E13" s="13"/>
      <c r="F13" s="15" t="str">
        <f t="shared" si="0"/>
        <v/>
      </c>
      <c r="G13" s="15" t="str">
        <f>IF($A13="","",SUMIFS(Packets!$G$5:$G$404,Packets!$L$5:$L$404,ROWS($A$5:$A13),Packets!$C$5:$C$404,"&lt;="&amp;$F13))</f>
        <v/>
      </c>
      <c r="H13" s="15" t="str">
        <f>IF($A13="","",Overview!$B$27)</f>
        <v/>
      </c>
      <c r="I13" s="15" t="str">
        <f>IF($A13="","",Overview!$B$26)</f>
        <v/>
      </c>
      <c r="J13" s="15" t="str">
        <f t="shared" si="1"/>
        <v/>
      </c>
      <c r="K13" s="15" t="str">
        <f>IF($A13="","",ROUNDUP(J13/Overview!$B$28,0))</f>
        <v/>
      </c>
      <c r="L13" s="15" t="str">
        <f>IF($A13="","",Overview!$B$29)</f>
        <v/>
      </c>
      <c r="M13" s="2" t="str">
        <f>IF(AND($A13="",$E13=""),"",IF($A13="","Enter a Packet ID",IF(COUNTIF($A$5:$A$34,$A13)&gt;1,"Duplicate Packet ID",IF($F13=0,"No Field IDs entered",IF(SUMPRODUCT(--ISNUMBER(FIND(","&amp;Fields!$A$5:$A$48&amp;",",","&amp;$P13&amp;",")))&lt;&gt;$F13,"Check Field IDs: unknown, blank, or repeated",IF(COUNTIFS(Packets!$L$5:$L$404,ROWS($A$5:$A13),Packets!$D$5:$D$404,"ERR")+COUNTIFS(Packets!$L$5:$L$404,ROWS($A$5:$A13),Packets!$E$5:$E$404,"MISSING")&gt;0,"Layout error: see Packets tab",IF($O13&gt;ROWS(Packets!$A$5:$A$404),"Exceeds Packets tab capacity","OK")))))))</f>
        <v/>
      </c>
      <c r="N13" s="14"/>
      <c r="O13" s="16">
        <f>SUM($F$5:$F13)+COUNTA($A$5:$A13)</f>
        <v>86</v>
      </c>
      <c r="P13" s="16" t="str">
        <f t="shared" si="2"/>
        <v/>
      </c>
    </row>
    <row r="14" spans="1:16" x14ac:dyDescent="0.35">
      <c r="A14" s="17"/>
      <c r="B14" s="18"/>
      <c r="C14" s="18"/>
      <c r="D14" s="18"/>
      <c r="E14" s="17"/>
      <c r="F14" s="19" t="str">
        <f t="shared" si="0"/>
        <v/>
      </c>
      <c r="G14" s="19" t="str">
        <f>IF($A14="","",SUMIFS(Packets!$G$5:$G$404,Packets!$L$5:$L$404,ROWS($A$5:$A14),Packets!$C$5:$C$404,"&lt;="&amp;$F14))</f>
        <v/>
      </c>
      <c r="H14" s="19" t="str">
        <f>IF($A14="","",Overview!$B$27)</f>
        <v/>
      </c>
      <c r="I14" s="19" t="str">
        <f>IF($A14="","",Overview!$B$26)</f>
        <v/>
      </c>
      <c r="J14" s="19" t="str">
        <f t="shared" si="1"/>
        <v/>
      </c>
      <c r="K14" s="19" t="str">
        <f>IF($A14="","",ROUNDUP(J14/Overview!$B$28,0))</f>
        <v/>
      </c>
      <c r="L14" s="19" t="str">
        <f>IF($A14="","",Overview!$B$29)</f>
        <v/>
      </c>
      <c r="M14" s="3" t="str">
        <f>IF(AND($A14="",$E14=""),"",IF($A14="","Enter a Packet ID",IF(COUNTIF($A$5:$A$34,$A14)&gt;1,"Duplicate Packet ID",IF($F14=0,"No Field IDs entered",IF(SUMPRODUCT(--ISNUMBER(FIND(","&amp;Fields!$A$5:$A$48&amp;",",","&amp;$P14&amp;",")))&lt;&gt;$F14,"Check Field IDs: unknown, blank, or repeated",IF(COUNTIFS(Packets!$L$5:$L$404,ROWS($A$5:$A14),Packets!$D$5:$D$404,"ERR")+COUNTIFS(Packets!$L$5:$L$404,ROWS($A$5:$A14),Packets!$E$5:$E$404,"MISSING")&gt;0,"Layout error: see Packets tab",IF($O14&gt;ROWS(Packets!$A$5:$A$404),"Exceeds Packets tab capacity","OK")))))))</f>
        <v/>
      </c>
      <c r="N14" s="18"/>
      <c r="O14" s="20">
        <f>SUM($F$5:$F14)+COUNTA($A$5:$A14)</f>
        <v>86</v>
      </c>
      <c r="P14" s="20" t="str">
        <f t="shared" si="2"/>
        <v/>
      </c>
    </row>
    <row r="15" spans="1:16" x14ac:dyDescent="0.35">
      <c r="A15" s="13"/>
      <c r="B15" s="14"/>
      <c r="C15" s="14"/>
      <c r="D15" s="14"/>
      <c r="E15" s="13"/>
      <c r="F15" s="15" t="str">
        <f t="shared" si="0"/>
        <v/>
      </c>
      <c r="G15" s="15" t="str">
        <f>IF($A15="","",SUMIFS(Packets!$G$5:$G$404,Packets!$L$5:$L$404,ROWS($A$5:$A15),Packets!$C$5:$C$404,"&lt;="&amp;$F15))</f>
        <v/>
      </c>
      <c r="H15" s="15" t="str">
        <f>IF($A15="","",Overview!$B$27)</f>
        <v/>
      </c>
      <c r="I15" s="15" t="str">
        <f>IF($A15="","",Overview!$B$26)</f>
        <v/>
      </c>
      <c r="J15" s="15" t="str">
        <f t="shared" si="1"/>
        <v/>
      </c>
      <c r="K15" s="15" t="str">
        <f>IF($A15="","",ROUNDUP(J15/Overview!$B$28,0))</f>
        <v/>
      </c>
      <c r="L15" s="15" t="str">
        <f>IF($A15="","",Overview!$B$29)</f>
        <v/>
      </c>
      <c r="M15" s="2" t="str">
        <f>IF(AND($A15="",$E15=""),"",IF($A15="","Enter a Packet ID",IF(COUNTIF($A$5:$A$34,$A15)&gt;1,"Duplicate Packet ID",IF($F15=0,"No Field IDs entered",IF(SUMPRODUCT(--ISNUMBER(FIND(","&amp;Fields!$A$5:$A$48&amp;",",","&amp;$P15&amp;",")))&lt;&gt;$F15,"Check Field IDs: unknown, blank, or repeated",IF(COUNTIFS(Packets!$L$5:$L$404,ROWS($A$5:$A15),Packets!$D$5:$D$404,"ERR")+COUNTIFS(Packets!$L$5:$L$404,ROWS($A$5:$A15),Packets!$E$5:$E$404,"MISSING")&gt;0,"Layout error: see Packets tab",IF($O15&gt;ROWS(Packets!$A$5:$A$404),"Exceeds Packets tab capacity","OK")))))))</f>
        <v/>
      </c>
      <c r="N15" s="14"/>
      <c r="O15" s="16">
        <f>SUM($F$5:$F15)+COUNTA($A$5:$A15)</f>
        <v>86</v>
      </c>
      <c r="P15" s="16" t="str">
        <f t="shared" si="2"/>
        <v/>
      </c>
    </row>
    <row r="16" spans="1:16" x14ac:dyDescent="0.35">
      <c r="A16" s="17"/>
      <c r="B16" s="18"/>
      <c r="C16" s="18"/>
      <c r="D16" s="18"/>
      <c r="E16" s="17"/>
      <c r="F16" s="19" t="str">
        <f t="shared" si="0"/>
        <v/>
      </c>
      <c r="G16" s="19" t="str">
        <f>IF($A16="","",SUMIFS(Packets!$G$5:$G$404,Packets!$L$5:$L$404,ROWS($A$5:$A16),Packets!$C$5:$C$404,"&lt;="&amp;$F16))</f>
        <v/>
      </c>
      <c r="H16" s="19" t="str">
        <f>IF($A16="","",Overview!$B$27)</f>
        <v/>
      </c>
      <c r="I16" s="19" t="str">
        <f>IF($A16="","",Overview!$B$26)</f>
        <v/>
      </c>
      <c r="J16" s="19" t="str">
        <f t="shared" si="1"/>
        <v/>
      </c>
      <c r="K16" s="19" t="str">
        <f>IF($A16="","",ROUNDUP(J16/Overview!$B$28,0))</f>
        <v/>
      </c>
      <c r="L16" s="19" t="str">
        <f>IF($A16="","",Overview!$B$29)</f>
        <v/>
      </c>
      <c r="M16" s="3" t="str">
        <f>IF(AND($A16="",$E16=""),"",IF($A16="","Enter a Packet ID",IF(COUNTIF($A$5:$A$34,$A16)&gt;1,"Duplicate Packet ID",IF($F16=0,"No Field IDs entered",IF(SUMPRODUCT(--ISNUMBER(FIND(","&amp;Fields!$A$5:$A$48&amp;",",","&amp;$P16&amp;",")))&lt;&gt;$F16,"Check Field IDs: unknown, blank, or repeated",IF(COUNTIFS(Packets!$L$5:$L$404,ROWS($A$5:$A16),Packets!$D$5:$D$404,"ERR")+COUNTIFS(Packets!$L$5:$L$404,ROWS($A$5:$A16),Packets!$E$5:$E$404,"MISSING")&gt;0,"Layout error: see Packets tab",IF($O16&gt;ROWS(Packets!$A$5:$A$404),"Exceeds Packets tab capacity","OK")))))))</f>
        <v/>
      </c>
      <c r="N16" s="18"/>
      <c r="O16" s="20">
        <f>SUM($F$5:$F16)+COUNTA($A$5:$A16)</f>
        <v>86</v>
      </c>
      <c r="P16" s="20" t="str">
        <f t="shared" si="2"/>
        <v/>
      </c>
    </row>
    <row r="17" spans="1:16" x14ac:dyDescent="0.35">
      <c r="A17" s="13"/>
      <c r="B17" s="14"/>
      <c r="C17" s="14"/>
      <c r="D17" s="14"/>
      <c r="E17" s="13"/>
      <c r="F17" s="15" t="str">
        <f t="shared" si="0"/>
        <v/>
      </c>
      <c r="G17" s="15" t="str">
        <f>IF($A17="","",SUMIFS(Packets!$G$5:$G$404,Packets!$L$5:$L$404,ROWS($A$5:$A17),Packets!$C$5:$C$404,"&lt;="&amp;$F17))</f>
        <v/>
      </c>
      <c r="H17" s="15" t="str">
        <f>IF($A17="","",Overview!$B$27)</f>
        <v/>
      </c>
      <c r="I17" s="15" t="str">
        <f>IF($A17="","",Overview!$B$26)</f>
        <v/>
      </c>
      <c r="J17" s="15" t="str">
        <f t="shared" si="1"/>
        <v/>
      </c>
      <c r="K17" s="15" t="str">
        <f>IF($A17="","",ROUNDUP(J17/Overview!$B$28,0))</f>
        <v/>
      </c>
      <c r="L17" s="15" t="str">
        <f>IF($A17="","",Overview!$B$29)</f>
        <v/>
      </c>
      <c r="M17" s="2" t="str">
        <f>IF(AND($A17="",$E17=""),"",IF($A17="","Enter a Packet ID",IF(COUNTIF($A$5:$A$34,$A17)&gt;1,"Duplicate Packet ID",IF($F17=0,"No Field IDs entered",IF(SUMPRODUCT(--ISNUMBER(FIND(","&amp;Fields!$A$5:$A$48&amp;",",","&amp;$P17&amp;",")))&lt;&gt;$F17,"Check Field IDs: unknown, blank, or repeated",IF(COUNTIFS(Packets!$L$5:$L$404,ROWS($A$5:$A17),Packets!$D$5:$D$404,"ERR")+COUNTIFS(Packets!$L$5:$L$404,ROWS($A$5:$A17),Packets!$E$5:$E$404,"MISSING")&gt;0,"Layout error: see Packets tab",IF($O17&gt;ROWS(Packets!$A$5:$A$404),"Exceeds Packets tab capacity","OK")))))))</f>
        <v/>
      </c>
      <c r="N17" s="14"/>
      <c r="O17" s="16">
        <f>SUM($F$5:$F17)+COUNTA($A$5:$A17)</f>
        <v>86</v>
      </c>
      <c r="P17" s="16" t="str">
        <f t="shared" si="2"/>
        <v/>
      </c>
    </row>
    <row r="18" spans="1:16" x14ac:dyDescent="0.35">
      <c r="A18" s="17"/>
      <c r="B18" s="18"/>
      <c r="C18" s="18"/>
      <c r="D18" s="18"/>
      <c r="E18" s="17"/>
      <c r="F18" s="19" t="str">
        <f t="shared" si="0"/>
        <v/>
      </c>
      <c r="G18" s="19" t="str">
        <f>IF($A18="","",SUMIFS(Packets!$G$5:$G$404,Packets!$L$5:$L$404,ROWS($A$5:$A18),Packets!$C$5:$C$404,"&lt;="&amp;$F18))</f>
        <v/>
      </c>
      <c r="H18" s="19" t="str">
        <f>IF($A18="","",Overview!$B$27)</f>
        <v/>
      </c>
      <c r="I18" s="19" t="str">
        <f>IF($A18="","",Overview!$B$26)</f>
        <v/>
      </c>
      <c r="J18" s="19" t="str">
        <f t="shared" si="1"/>
        <v/>
      </c>
      <c r="K18" s="19" t="str">
        <f>IF($A18="","",ROUNDUP(J18/Overview!$B$28,0))</f>
        <v/>
      </c>
      <c r="L18" s="19" t="str">
        <f>IF($A18="","",Overview!$B$29)</f>
        <v/>
      </c>
      <c r="M18" s="3" t="str">
        <f>IF(AND($A18="",$E18=""),"",IF($A18="","Enter a Packet ID",IF(COUNTIF($A$5:$A$34,$A18)&gt;1,"Duplicate Packet ID",IF($F18=0,"No Field IDs entered",IF(SUMPRODUCT(--ISNUMBER(FIND(","&amp;Fields!$A$5:$A$48&amp;",",","&amp;$P18&amp;",")))&lt;&gt;$F18,"Check Field IDs: unknown, blank, or repeated",IF(COUNTIFS(Packets!$L$5:$L$404,ROWS($A$5:$A18),Packets!$D$5:$D$404,"ERR")+COUNTIFS(Packets!$L$5:$L$404,ROWS($A$5:$A18),Packets!$E$5:$E$404,"MISSING")&gt;0,"Layout error: see Packets tab",IF($O18&gt;ROWS(Packets!$A$5:$A$404),"Exceeds Packets tab capacity","OK")))))))</f>
        <v/>
      </c>
      <c r="N18" s="18"/>
      <c r="O18" s="20">
        <f>SUM($F$5:$F18)+COUNTA($A$5:$A18)</f>
        <v>86</v>
      </c>
      <c r="P18" s="20" t="str">
        <f t="shared" si="2"/>
        <v/>
      </c>
    </row>
    <row r="19" spans="1:16" x14ac:dyDescent="0.35">
      <c r="A19" s="13"/>
      <c r="B19" s="14"/>
      <c r="C19" s="14"/>
      <c r="D19" s="14"/>
      <c r="E19" s="13"/>
      <c r="F19" s="15" t="str">
        <f t="shared" si="0"/>
        <v/>
      </c>
      <c r="G19" s="15" t="str">
        <f>IF($A19="","",SUMIFS(Packets!$G$5:$G$404,Packets!$L$5:$L$404,ROWS($A$5:$A19),Packets!$C$5:$C$404,"&lt;="&amp;$F19))</f>
        <v/>
      </c>
      <c r="H19" s="15" t="str">
        <f>IF($A19="","",Overview!$B$27)</f>
        <v/>
      </c>
      <c r="I19" s="15" t="str">
        <f>IF($A19="","",Overview!$B$26)</f>
        <v/>
      </c>
      <c r="J19" s="15" t="str">
        <f t="shared" si="1"/>
        <v/>
      </c>
      <c r="K19" s="15" t="str">
        <f>IF($A19="","",ROUNDUP(J19/Overview!$B$28,0))</f>
        <v/>
      </c>
      <c r="L19" s="15" t="str">
        <f>IF($A19="","",Overview!$B$29)</f>
        <v/>
      </c>
      <c r="M19" s="2" t="str">
        <f>IF(AND($A19="",$E19=""),"",IF($A19="","Enter a Packet ID",IF(COUNTIF($A$5:$A$34,$A19)&gt;1,"Duplicate Packet ID",IF($F19=0,"No Field IDs entered",IF(SUMPRODUCT(--ISNUMBER(FIND(","&amp;Fields!$A$5:$A$48&amp;",",","&amp;$P19&amp;",")))&lt;&gt;$F19,"Check Field IDs: unknown, blank, or repeated",IF(COUNTIFS(Packets!$L$5:$L$404,ROWS($A$5:$A19),Packets!$D$5:$D$404,"ERR")+COUNTIFS(Packets!$L$5:$L$404,ROWS($A$5:$A19),Packets!$E$5:$E$404,"MISSING")&gt;0,"Layout error: see Packets tab",IF($O19&gt;ROWS(Packets!$A$5:$A$404),"Exceeds Packets tab capacity","OK")))))))</f>
        <v/>
      </c>
      <c r="N19" s="14"/>
      <c r="O19" s="16">
        <f>SUM($F$5:$F19)+COUNTA($A$5:$A19)</f>
        <v>86</v>
      </c>
      <c r="P19" s="16" t="str">
        <f t="shared" si="2"/>
        <v/>
      </c>
    </row>
    <row r="20" spans="1:16" x14ac:dyDescent="0.35">
      <c r="A20" s="17"/>
      <c r="B20" s="18"/>
      <c r="C20" s="18"/>
      <c r="D20" s="18"/>
      <c r="E20" s="17"/>
      <c r="F20" s="19" t="str">
        <f t="shared" si="0"/>
        <v/>
      </c>
      <c r="G20" s="19" t="str">
        <f>IF($A20="","",SUMIFS(Packets!$G$5:$G$404,Packets!$L$5:$L$404,ROWS($A$5:$A20),Packets!$C$5:$C$404,"&lt;="&amp;$F20))</f>
        <v/>
      </c>
      <c r="H20" s="19" t="str">
        <f>IF($A20="","",Overview!$B$27)</f>
        <v/>
      </c>
      <c r="I20" s="19" t="str">
        <f>IF($A20="","",Overview!$B$26)</f>
        <v/>
      </c>
      <c r="J20" s="19" t="str">
        <f t="shared" si="1"/>
        <v/>
      </c>
      <c r="K20" s="19" t="str">
        <f>IF($A20="","",ROUNDUP(J20/Overview!$B$28,0))</f>
        <v/>
      </c>
      <c r="L20" s="19" t="str">
        <f>IF($A20="","",Overview!$B$29)</f>
        <v/>
      </c>
      <c r="M20" s="3" t="str">
        <f>IF(AND($A20="",$E20=""),"",IF($A20="","Enter a Packet ID",IF(COUNTIF($A$5:$A$34,$A20)&gt;1,"Duplicate Packet ID",IF($F20=0,"No Field IDs entered",IF(SUMPRODUCT(--ISNUMBER(FIND(","&amp;Fields!$A$5:$A$48&amp;",",","&amp;$P20&amp;",")))&lt;&gt;$F20,"Check Field IDs: unknown, blank, or repeated",IF(COUNTIFS(Packets!$L$5:$L$404,ROWS($A$5:$A20),Packets!$D$5:$D$404,"ERR")+COUNTIFS(Packets!$L$5:$L$404,ROWS($A$5:$A20),Packets!$E$5:$E$404,"MISSING")&gt;0,"Layout error: see Packets tab",IF($O20&gt;ROWS(Packets!$A$5:$A$404),"Exceeds Packets tab capacity","OK")))))))</f>
        <v/>
      </c>
      <c r="N20" s="18"/>
      <c r="O20" s="20">
        <f>SUM($F$5:$F20)+COUNTA($A$5:$A20)</f>
        <v>86</v>
      </c>
      <c r="P20" s="20" t="str">
        <f t="shared" si="2"/>
        <v/>
      </c>
    </row>
    <row r="21" spans="1:16" x14ac:dyDescent="0.35">
      <c r="A21" s="13"/>
      <c r="B21" s="14"/>
      <c r="C21" s="14"/>
      <c r="D21" s="14"/>
      <c r="E21" s="13"/>
      <c r="F21" s="15" t="str">
        <f t="shared" si="0"/>
        <v/>
      </c>
      <c r="G21" s="15" t="str">
        <f>IF($A21="","",SUMIFS(Packets!$G$5:$G$404,Packets!$L$5:$L$404,ROWS($A$5:$A21),Packets!$C$5:$C$404,"&lt;="&amp;$F21))</f>
        <v/>
      </c>
      <c r="H21" s="15" t="str">
        <f>IF($A21="","",Overview!$B$27)</f>
        <v/>
      </c>
      <c r="I21" s="15" t="str">
        <f>IF($A21="","",Overview!$B$26)</f>
        <v/>
      </c>
      <c r="J21" s="15" t="str">
        <f t="shared" si="1"/>
        <v/>
      </c>
      <c r="K21" s="15" t="str">
        <f>IF($A21="","",ROUNDUP(J21/Overview!$B$28,0))</f>
        <v/>
      </c>
      <c r="L21" s="15" t="str">
        <f>IF($A21="","",Overview!$B$29)</f>
        <v/>
      </c>
      <c r="M21" s="2" t="str">
        <f>IF(AND($A21="",$E21=""),"",IF($A21="","Enter a Packet ID",IF(COUNTIF($A$5:$A$34,$A21)&gt;1,"Duplicate Packet ID",IF($F21=0,"No Field IDs entered",IF(SUMPRODUCT(--ISNUMBER(FIND(","&amp;Fields!$A$5:$A$48&amp;",",","&amp;$P21&amp;",")))&lt;&gt;$F21,"Check Field IDs: unknown, blank, or repeated",IF(COUNTIFS(Packets!$L$5:$L$404,ROWS($A$5:$A21),Packets!$D$5:$D$404,"ERR")+COUNTIFS(Packets!$L$5:$L$404,ROWS($A$5:$A21),Packets!$E$5:$E$404,"MISSING")&gt;0,"Layout error: see Packets tab",IF($O21&gt;ROWS(Packets!$A$5:$A$404),"Exceeds Packets tab capacity","OK")))))))</f>
        <v/>
      </c>
      <c r="N21" s="14"/>
      <c r="O21" s="16">
        <f>SUM($F$5:$F21)+COUNTA($A$5:$A21)</f>
        <v>86</v>
      </c>
      <c r="P21" s="16" t="str">
        <f t="shared" si="2"/>
        <v/>
      </c>
    </row>
    <row r="22" spans="1:16" x14ac:dyDescent="0.35">
      <c r="A22" s="17"/>
      <c r="B22" s="18"/>
      <c r="C22" s="18"/>
      <c r="D22" s="18"/>
      <c r="E22" s="17"/>
      <c r="F22" s="19" t="str">
        <f t="shared" si="0"/>
        <v/>
      </c>
      <c r="G22" s="19" t="str">
        <f>IF($A22="","",SUMIFS(Packets!$G$5:$G$404,Packets!$L$5:$L$404,ROWS($A$5:$A22),Packets!$C$5:$C$404,"&lt;="&amp;$F22))</f>
        <v/>
      </c>
      <c r="H22" s="19" t="str">
        <f>IF($A22="","",Overview!$B$27)</f>
        <v/>
      </c>
      <c r="I22" s="19" t="str">
        <f>IF($A22="","",Overview!$B$26)</f>
        <v/>
      </c>
      <c r="J22" s="19" t="str">
        <f t="shared" si="1"/>
        <v/>
      </c>
      <c r="K22" s="19" t="str">
        <f>IF($A22="","",ROUNDUP(J22/Overview!$B$28,0))</f>
        <v/>
      </c>
      <c r="L22" s="19" t="str">
        <f>IF($A22="","",Overview!$B$29)</f>
        <v/>
      </c>
      <c r="M22" s="3" t="str">
        <f>IF(AND($A22="",$E22=""),"",IF($A22="","Enter a Packet ID",IF(COUNTIF($A$5:$A$34,$A22)&gt;1,"Duplicate Packet ID",IF($F22=0,"No Field IDs entered",IF(SUMPRODUCT(--ISNUMBER(FIND(","&amp;Fields!$A$5:$A$48&amp;",",","&amp;$P22&amp;",")))&lt;&gt;$F22,"Check Field IDs: unknown, blank, or repeated",IF(COUNTIFS(Packets!$L$5:$L$404,ROWS($A$5:$A22),Packets!$D$5:$D$404,"ERR")+COUNTIFS(Packets!$L$5:$L$404,ROWS($A$5:$A22),Packets!$E$5:$E$404,"MISSING")&gt;0,"Layout error: see Packets tab",IF($O22&gt;ROWS(Packets!$A$5:$A$404),"Exceeds Packets tab capacity","OK")))))))</f>
        <v/>
      </c>
      <c r="N22" s="18"/>
      <c r="O22" s="20">
        <f>SUM($F$5:$F22)+COUNTA($A$5:$A22)</f>
        <v>86</v>
      </c>
      <c r="P22" s="20" t="str">
        <f t="shared" si="2"/>
        <v/>
      </c>
    </row>
    <row r="23" spans="1:16" x14ac:dyDescent="0.35">
      <c r="A23" s="13"/>
      <c r="B23" s="14"/>
      <c r="C23" s="14"/>
      <c r="D23" s="14"/>
      <c r="E23" s="13"/>
      <c r="F23" s="15" t="str">
        <f t="shared" si="0"/>
        <v/>
      </c>
      <c r="G23" s="15" t="str">
        <f>IF($A23="","",SUMIFS(Packets!$G$5:$G$404,Packets!$L$5:$L$404,ROWS($A$5:$A23),Packets!$C$5:$C$404,"&lt;="&amp;$F23))</f>
        <v/>
      </c>
      <c r="H23" s="15" t="str">
        <f>IF($A23="","",Overview!$B$27)</f>
        <v/>
      </c>
      <c r="I23" s="15" t="str">
        <f>IF($A23="","",Overview!$B$26)</f>
        <v/>
      </c>
      <c r="J23" s="15" t="str">
        <f t="shared" si="1"/>
        <v/>
      </c>
      <c r="K23" s="15" t="str">
        <f>IF($A23="","",ROUNDUP(J23/Overview!$B$28,0))</f>
        <v/>
      </c>
      <c r="L23" s="15" t="str">
        <f>IF($A23="","",Overview!$B$29)</f>
        <v/>
      </c>
      <c r="M23" s="2" t="str">
        <f>IF(AND($A23="",$E23=""),"",IF($A23="","Enter a Packet ID",IF(COUNTIF($A$5:$A$34,$A23)&gt;1,"Duplicate Packet ID",IF($F23=0,"No Field IDs entered",IF(SUMPRODUCT(--ISNUMBER(FIND(","&amp;Fields!$A$5:$A$48&amp;",",","&amp;$P23&amp;",")))&lt;&gt;$F23,"Check Field IDs: unknown, blank, or repeated",IF(COUNTIFS(Packets!$L$5:$L$404,ROWS($A$5:$A23),Packets!$D$5:$D$404,"ERR")+COUNTIFS(Packets!$L$5:$L$404,ROWS($A$5:$A23),Packets!$E$5:$E$404,"MISSING")&gt;0,"Layout error: see Packets tab",IF($O23&gt;ROWS(Packets!$A$5:$A$404),"Exceeds Packets tab capacity","OK")))))))</f>
        <v/>
      </c>
      <c r="N23" s="14"/>
      <c r="O23" s="16">
        <f>SUM($F$5:$F23)+COUNTA($A$5:$A23)</f>
        <v>86</v>
      </c>
      <c r="P23" s="16" t="str">
        <f t="shared" si="2"/>
        <v/>
      </c>
    </row>
    <row r="24" spans="1:16" x14ac:dyDescent="0.35">
      <c r="A24" s="17"/>
      <c r="B24" s="18"/>
      <c r="C24" s="18"/>
      <c r="D24" s="18"/>
      <c r="E24" s="17"/>
      <c r="F24" s="19" t="str">
        <f t="shared" si="0"/>
        <v/>
      </c>
      <c r="G24" s="19" t="str">
        <f>IF($A24="","",SUMIFS(Packets!$G$5:$G$404,Packets!$L$5:$L$404,ROWS($A$5:$A24),Packets!$C$5:$C$404,"&lt;="&amp;$F24))</f>
        <v/>
      </c>
      <c r="H24" s="19" t="str">
        <f>IF($A24="","",Overview!$B$27)</f>
        <v/>
      </c>
      <c r="I24" s="19" t="str">
        <f>IF($A24="","",Overview!$B$26)</f>
        <v/>
      </c>
      <c r="J24" s="19" t="str">
        <f t="shared" si="1"/>
        <v/>
      </c>
      <c r="K24" s="19" t="str">
        <f>IF($A24="","",ROUNDUP(J24/Overview!$B$28,0))</f>
        <v/>
      </c>
      <c r="L24" s="19" t="str">
        <f>IF($A24="","",Overview!$B$29)</f>
        <v/>
      </c>
      <c r="M24" s="3" t="str">
        <f>IF(AND($A24="",$E24=""),"",IF($A24="","Enter a Packet ID",IF(COUNTIF($A$5:$A$34,$A24)&gt;1,"Duplicate Packet ID",IF($F24=0,"No Field IDs entered",IF(SUMPRODUCT(--ISNUMBER(FIND(","&amp;Fields!$A$5:$A$48&amp;",",","&amp;$P24&amp;",")))&lt;&gt;$F24,"Check Field IDs: unknown, blank, or repeated",IF(COUNTIFS(Packets!$L$5:$L$404,ROWS($A$5:$A24),Packets!$D$5:$D$404,"ERR")+COUNTIFS(Packets!$L$5:$L$404,ROWS($A$5:$A24),Packets!$E$5:$E$404,"MISSING")&gt;0,"Layout error: see Packets tab",IF($O24&gt;ROWS(Packets!$A$5:$A$404),"Exceeds Packets tab capacity","OK")))))))</f>
        <v/>
      </c>
      <c r="N24" s="18"/>
      <c r="O24" s="20">
        <f>SUM($F$5:$F24)+COUNTA($A$5:$A24)</f>
        <v>86</v>
      </c>
      <c r="P24" s="20" t="str">
        <f t="shared" si="2"/>
        <v/>
      </c>
    </row>
    <row r="25" spans="1:16" x14ac:dyDescent="0.35">
      <c r="A25" s="13"/>
      <c r="B25" s="14"/>
      <c r="C25" s="14"/>
      <c r="D25" s="14"/>
      <c r="E25" s="13"/>
      <c r="F25" s="15" t="str">
        <f t="shared" si="0"/>
        <v/>
      </c>
      <c r="G25" s="15" t="str">
        <f>IF($A25="","",SUMIFS(Packets!$G$5:$G$404,Packets!$L$5:$L$404,ROWS($A$5:$A25),Packets!$C$5:$C$404,"&lt;="&amp;$F25))</f>
        <v/>
      </c>
      <c r="H25" s="15" t="str">
        <f>IF($A25="","",Overview!$B$27)</f>
        <v/>
      </c>
      <c r="I25" s="15" t="str">
        <f>IF($A25="","",Overview!$B$26)</f>
        <v/>
      </c>
      <c r="J25" s="15" t="str">
        <f t="shared" si="1"/>
        <v/>
      </c>
      <c r="K25" s="15" t="str">
        <f>IF($A25="","",ROUNDUP(J25/Overview!$B$28,0))</f>
        <v/>
      </c>
      <c r="L25" s="15" t="str">
        <f>IF($A25="","",Overview!$B$29)</f>
        <v/>
      </c>
      <c r="M25" s="2" t="str">
        <f>IF(AND($A25="",$E25=""),"",IF($A25="","Enter a Packet ID",IF(COUNTIF($A$5:$A$34,$A25)&gt;1,"Duplicate Packet ID",IF($F25=0,"No Field IDs entered",IF(SUMPRODUCT(--ISNUMBER(FIND(","&amp;Fields!$A$5:$A$48&amp;",",","&amp;$P25&amp;",")))&lt;&gt;$F25,"Check Field IDs: unknown, blank, or repeated",IF(COUNTIFS(Packets!$L$5:$L$404,ROWS($A$5:$A25),Packets!$D$5:$D$404,"ERR")+COUNTIFS(Packets!$L$5:$L$404,ROWS($A$5:$A25),Packets!$E$5:$E$404,"MISSING")&gt;0,"Layout error: see Packets tab",IF($O25&gt;ROWS(Packets!$A$5:$A$404),"Exceeds Packets tab capacity","OK")))))))</f>
        <v/>
      </c>
      <c r="N25" s="14"/>
      <c r="O25" s="16">
        <f>SUM($F$5:$F25)+COUNTA($A$5:$A25)</f>
        <v>86</v>
      </c>
      <c r="P25" s="16" t="str">
        <f t="shared" si="2"/>
        <v/>
      </c>
    </row>
    <row r="26" spans="1:16" x14ac:dyDescent="0.35">
      <c r="A26" s="17"/>
      <c r="B26" s="18"/>
      <c r="C26" s="18"/>
      <c r="D26" s="18"/>
      <c r="E26" s="17"/>
      <c r="F26" s="19" t="str">
        <f t="shared" si="0"/>
        <v/>
      </c>
      <c r="G26" s="19" t="str">
        <f>IF($A26="","",SUMIFS(Packets!$G$5:$G$404,Packets!$L$5:$L$404,ROWS($A$5:$A26),Packets!$C$5:$C$404,"&lt;="&amp;$F26))</f>
        <v/>
      </c>
      <c r="H26" s="19" t="str">
        <f>IF($A26="","",Overview!$B$27)</f>
        <v/>
      </c>
      <c r="I26" s="19" t="str">
        <f>IF($A26="","",Overview!$B$26)</f>
        <v/>
      </c>
      <c r="J26" s="19" t="str">
        <f t="shared" si="1"/>
        <v/>
      </c>
      <c r="K26" s="19" t="str">
        <f>IF($A26="","",ROUNDUP(J26/Overview!$B$28,0))</f>
        <v/>
      </c>
      <c r="L26" s="19" t="str">
        <f>IF($A26="","",Overview!$B$29)</f>
        <v/>
      </c>
      <c r="M26" s="3" t="str">
        <f>IF(AND($A26="",$E26=""),"",IF($A26="","Enter a Packet ID",IF(COUNTIF($A$5:$A$34,$A26)&gt;1,"Duplicate Packet ID",IF($F26=0,"No Field IDs entered",IF(SUMPRODUCT(--ISNUMBER(FIND(","&amp;Fields!$A$5:$A$48&amp;",",","&amp;$P26&amp;",")))&lt;&gt;$F26,"Check Field IDs: unknown, blank, or repeated",IF(COUNTIFS(Packets!$L$5:$L$404,ROWS($A$5:$A26),Packets!$D$5:$D$404,"ERR")+COUNTIFS(Packets!$L$5:$L$404,ROWS($A$5:$A26),Packets!$E$5:$E$404,"MISSING")&gt;0,"Layout error: see Packets tab",IF($O26&gt;ROWS(Packets!$A$5:$A$404),"Exceeds Packets tab capacity","OK")))))))</f>
        <v/>
      </c>
      <c r="N26" s="18"/>
      <c r="O26" s="20">
        <f>SUM($F$5:$F26)+COUNTA($A$5:$A26)</f>
        <v>86</v>
      </c>
      <c r="P26" s="20" t="str">
        <f t="shared" si="2"/>
        <v/>
      </c>
    </row>
    <row r="27" spans="1:16" x14ac:dyDescent="0.35">
      <c r="A27" s="13"/>
      <c r="B27" s="14"/>
      <c r="C27" s="14"/>
      <c r="D27" s="14"/>
      <c r="E27" s="13"/>
      <c r="F27" s="15" t="str">
        <f t="shared" si="0"/>
        <v/>
      </c>
      <c r="G27" s="15" t="str">
        <f>IF($A27="","",SUMIFS(Packets!$G$5:$G$404,Packets!$L$5:$L$404,ROWS($A$5:$A27),Packets!$C$5:$C$404,"&lt;="&amp;$F27))</f>
        <v/>
      </c>
      <c r="H27" s="15" t="str">
        <f>IF($A27="","",Overview!$B$27)</f>
        <v/>
      </c>
      <c r="I27" s="15" t="str">
        <f>IF($A27="","",Overview!$B$26)</f>
        <v/>
      </c>
      <c r="J27" s="15" t="str">
        <f t="shared" si="1"/>
        <v/>
      </c>
      <c r="K27" s="15" t="str">
        <f>IF($A27="","",ROUNDUP(J27/Overview!$B$28,0))</f>
        <v/>
      </c>
      <c r="L27" s="15" t="str">
        <f>IF($A27="","",Overview!$B$29)</f>
        <v/>
      </c>
      <c r="M27" s="2" t="str">
        <f>IF(AND($A27="",$E27=""),"",IF($A27="","Enter a Packet ID",IF(COUNTIF($A$5:$A$34,$A27)&gt;1,"Duplicate Packet ID",IF($F27=0,"No Field IDs entered",IF(SUMPRODUCT(--ISNUMBER(FIND(","&amp;Fields!$A$5:$A$48&amp;",",","&amp;$P27&amp;",")))&lt;&gt;$F27,"Check Field IDs: unknown, blank, or repeated",IF(COUNTIFS(Packets!$L$5:$L$404,ROWS($A$5:$A27),Packets!$D$5:$D$404,"ERR")+COUNTIFS(Packets!$L$5:$L$404,ROWS($A$5:$A27),Packets!$E$5:$E$404,"MISSING")&gt;0,"Layout error: see Packets tab",IF($O27&gt;ROWS(Packets!$A$5:$A$404),"Exceeds Packets tab capacity","OK")))))))</f>
        <v/>
      </c>
      <c r="N27" s="14"/>
      <c r="O27" s="16">
        <f>SUM($F$5:$F27)+COUNTA($A$5:$A27)</f>
        <v>86</v>
      </c>
      <c r="P27" s="16" t="str">
        <f t="shared" si="2"/>
        <v/>
      </c>
    </row>
    <row r="28" spans="1:16" x14ac:dyDescent="0.35">
      <c r="A28" s="17"/>
      <c r="B28" s="18"/>
      <c r="C28" s="18"/>
      <c r="D28" s="18"/>
      <c r="E28" s="17"/>
      <c r="F28" s="19" t="str">
        <f t="shared" si="0"/>
        <v/>
      </c>
      <c r="G28" s="19" t="str">
        <f>IF($A28="","",SUMIFS(Packets!$G$5:$G$404,Packets!$L$5:$L$404,ROWS($A$5:$A28),Packets!$C$5:$C$404,"&lt;="&amp;$F28))</f>
        <v/>
      </c>
      <c r="H28" s="19" t="str">
        <f>IF($A28="","",Overview!$B$27)</f>
        <v/>
      </c>
      <c r="I28" s="19" t="str">
        <f>IF($A28="","",Overview!$B$26)</f>
        <v/>
      </c>
      <c r="J28" s="19" t="str">
        <f t="shared" si="1"/>
        <v/>
      </c>
      <c r="K28" s="19" t="str">
        <f>IF($A28="","",ROUNDUP(J28/Overview!$B$28,0))</f>
        <v/>
      </c>
      <c r="L28" s="19" t="str">
        <f>IF($A28="","",Overview!$B$29)</f>
        <v/>
      </c>
      <c r="M28" s="3" t="str">
        <f>IF(AND($A28="",$E28=""),"",IF($A28="","Enter a Packet ID",IF(COUNTIF($A$5:$A$34,$A28)&gt;1,"Duplicate Packet ID",IF($F28=0,"No Field IDs entered",IF(SUMPRODUCT(--ISNUMBER(FIND(","&amp;Fields!$A$5:$A$48&amp;",",","&amp;$P28&amp;",")))&lt;&gt;$F28,"Check Field IDs: unknown, blank, or repeated",IF(COUNTIFS(Packets!$L$5:$L$404,ROWS($A$5:$A28),Packets!$D$5:$D$404,"ERR")+COUNTIFS(Packets!$L$5:$L$404,ROWS($A$5:$A28),Packets!$E$5:$E$404,"MISSING")&gt;0,"Layout error: see Packets tab",IF($O28&gt;ROWS(Packets!$A$5:$A$404),"Exceeds Packets tab capacity","OK")))))))</f>
        <v/>
      </c>
      <c r="N28" s="18"/>
      <c r="O28" s="20">
        <f>SUM($F$5:$F28)+COUNTA($A$5:$A28)</f>
        <v>86</v>
      </c>
      <c r="P28" s="20" t="str">
        <f t="shared" si="2"/>
        <v/>
      </c>
    </row>
    <row r="29" spans="1:16" x14ac:dyDescent="0.35">
      <c r="A29" s="13"/>
      <c r="B29" s="14"/>
      <c r="C29" s="14"/>
      <c r="D29" s="14"/>
      <c r="E29" s="13"/>
      <c r="F29" s="15" t="str">
        <f t="shared" si="0"/>
        <v/>
      </c>
      <c r="G29" s="15" t="str">
        <f>IF($A29="","",SUMIFS(Packets!$G$5:$G$404,Packets!$L$5:$L$404,ROWS($A$5:$A29),Packets!$C$5:$C$404,"&lt;="&amp;$F29))</f>
        <v/>
      </c>
      <c r="H29" s="15" t="str">
        <f>IF($A29="","",Overview!$B$27)</f>
        <v/>
      </c>
      <c r="I29" s="15" t="str">
        <f>IF($A29="","",Overview!$B$26)</f>
        <v/>
      </c>
      <c r="J29" s="15" t="str">
        <f t="shared" si="1"/>
        <v/>
      </c>
      <c r="K29" s="15" t="str">
        <f>IF($A29="","",ROUNDUP(J29/Overview!$B$28,0))</f>
        <v/>
      </c>
      <c r="L29" s="15" t="str">
        <f>IF($A29="","",Overview!$B$29)</f>
        <v/>
      </c>
      <c r="M29" s="2" t="str">
        <f>IF(AND($A29="",$E29=""),"",IF($A29="","Enter a Packet ID",IF(COUNTIF($A$5:$A$34,$A29)&gt;1,"Duplicate Packet ID",IF($F29=0,"No Field IDs entered",IF(SUMPRODUCT(--ISNUMBER(FIND(","&amp;Fields!$A$5:$A$48&amp;",",","&amp;$P29&amp;",")))&lt;&gt;$F29,"Check Field IDs: unknown, blank, or repeated",IF(COUNTIFS(Packets!$L$5:$L$404,ROWS($A$5:$A29),Packets!$D$5:$D$404,"ERR")+COUNTIFS(Packets!$L$5:$L$404,ROWS($A$5:$A29),Packets!$E$5:$E$404,"MISSING")&gt;0,"Layout error: see Packets tab",IF($O29&gt;ROWS(Packets!$A$5:$A$404),"Exceeds Packets tab capacity","OK")))))))</f>
        <v/>
      </c>
      <c r="N29" s="14"/>
      <c r="O29" s="16">
        <f>SUM($F$5:$F29)+COUNTA($A$5:$A29)</f>
        <v>86</v>
      </c>
      <c r="P29" s="16" t="str">
        <f t="shared" si="2"/>
        <v/>
      </c>
    </row>
    <row r="30" spans="1:16" x14ac:dyDescent="0.35">
      <c r="A30" s="17"/>
      <c r="B30" s="18"/>
      <c r="C30" s="18"/>
      <c r="D30" s="18"/>
      <c r="E30" s="17"/>
      <c r="F30" s="19" t="str">
        <f t="shared" si="0"/>
        <v/>
      </c>
      <c r="G30" s="19" t="str">
        <f>IF($A30="","",SUMIFS(Packets!$G$5:$G$404,Packets!$L$5:$L$404,ROWS($A$5:$A30),Packets!$C$5:$C$404,"&lt;="&amp;$F30))</f>
        <v/>
      </c>
      <c r="H30" s="19" t="str">
        <f>IF($A30="","",Overview!$B$27)</f>
        <v/>
      </c>
      <c r="I30" s="19" t="str">
        <f>IF($A30="","",Overview!$B$26)</f>
        <v/>
      </c>
      <c r="J30" s="19" t="str">
        <f t="shared" si="1"/>
        <v/>
      </c>
      <c r="K30" s="19" t="str">
        <f>IF($A30="","",ROUNDUP(J30/Overview!$B$28,0))</f>
        <v/>
      </c>
      <c r="L30" s="19" t="str">
        <f>IF($A30="","",Overview!$B$29)</f>
        <v/>
      </c>
      <c r="M30" s="3" t="str">
        <f>IF(AND($A30="",$E30=""),"",IF($A30="","Enter a Packet ID",IF(COUNTIF($A$5:$A$34,$A30)&gt;1,"Duplicate Packet ID",IF($F30=0,"No Field IDs entered",IF(SUMPRODUCT(--ISNUMBER(FIND(","&amp;Fields!$A$5:$A$48&amp;",",","&amp;$P30&amp;",")))&lt;&gt;$F30,"Check Field IDs: unknown, blank, or repeated",IF(COUNTIFS(Packets!$L$5:$L$404,ROWS($A$5:$A30),Packets!$D$5:$D$404,"ERR")+COUNTIFS(Packets!$L$5:$L$404,ROWS($A$5:$A30),Packets!$E$5:$E$404,"MISSING")&gt;0,"Layout error: see Packets tab",IF($O30&gt;ROWS(Packets!$A$5:$A$404),"Exceeds Packets tab capacity","OK")))))))</f>
        <v/>
      </c>
      <c r="N30" s="18"/>
      <c r="O30" s="20">
        <f>SUM($F$5:$F30)+COUNTA($A$5:$A30)</f>
        <v>86</v>
      </c>
      <c r="P30" s="20" t="str">
        <f t="shared" si="2"/>
        <v/>
      </c>
    </row>
    <row r="31" spans="1:16" x14ac:dyDescent="0.35">
      <c r="A31" s="13"/>
      <c r="B31" s="14"/>
      <c r="C31" s="14"/>
      <c r="D31" s="14"/>
      <c r="E31" s="13"/>
      <c r="F31" s="15" t="str">
        <f t="shared" si="0"/>
        <v/>
      </c>
      <c r="G31" s="15" t="str">
        <f>IF($A31="","",SUMIFS(Packets!$G$5:$G$404,Packets!$L$5:$L$404,ROWS($A$5:$A31),Packets!$C$5:$C$404,"&lt;="&amp;$F31))</f>
        <v/>
      </c>
      <c r="H31" s="15" t="str">
        <f>IF($A31="","",Overview!$B$27)</f>
        <v/>
      </c>
      <c r="I31" s="15" t="str">
        <f>IF($A31="","",Overview!$B$26)</f>
        <v/>
      </c>
      <c r="J31" s="15" t="str">
        <f t="shared" si="1"/>
        <v/>
      </c>
      <c r="K31" s="15" t="str">
        <f>IF($A31="","",ROUNDUP(J31/Overview!$B$28,0))</f>
        <v/>
      </c>
      <c r="L31" s="15" t="str">
        <f>IF($A31="","",Overview!$B$29)</f>
        <v/>
      </c>
      <c r="M31" s="2" t="str">
        <f>IF(AND($A31="",$E31=""),"",IF($A31="","Enter a Packet ID",IF(COUNTIF($A$5:$A$34,$A31)&gt;1,"Duplicate Packet ID",IF($F31=0,"No Field IDs entered",IF(SUMPRODUCT(--ISNUMBER(FIND(","&amp;Fields!$A$5:$A$48&amp;",",","&amp;$P31&amp;",")))&lt;&gt;$F31,"Check Field IDs: unknown, blank, or repeated",IF(COUNTIFS(Packets!$L$5:$L$404,ROWS($A$5:$A31),Packets!$D$5:$D$404,"ERR")+COUNTIFS(Packets!$L$5:$L$404,ROWS($A$5:$A31),Packets!$E$5:$E$404,"MISSING")&gt;0,"Layout error: see Packets tab",IF($O31&gt;ROWS(Packets!$A$5:$A$404),"Exceeds Packets tab capacity","OK")))))))</f>
        <v/>
      </c>
      <c r="N31" s="14"/>
      <c r="O31" s="16">
        <f>SUM($F$5:$F31)+COUNTA($A$5:$A31)</f>
        <v>86</v>
      </c>
      <c r="P31" s="16" t="str">
        <f t="shared" si="2"/>
        <v/>
      </c>
    </row>
    <row r="32" spans="1:16" x14ac:dyDescent="0.35">
      <c r="A32" s="17"/>
      <c r="B32" s="18"/>
      <c r="C32" s="18"/>
      <c r="D32" s="18"/>
      <c r="E32" s="17"/>
      <c r="F32" s="19" t="str">
        <f t="shared" si="0"/>
        <v/>
      </c>
      <c r="G32" s="19" t="str">
        <f>IF($A32="","",SUMIFS(Packets!$G$5:$G$404,Packets!$L$5:$L$404,ROWS($A$5:$A32),Packets!$C$5:$C$404,"&lt;="&amp;$F32))</f>
        <v/>
      </c>
      <c r="H32" s="19" t="str">
        <f>IF($A32="","",Overview!$B$27)</f>
        <v/>
      </c>
      <c r="I32" s="19" t="str">
        <f>IF($A32="","",Overview!$B$26)</f>
        <v/>
      </c>
      <c r="J32" s="19" t="str">
        <f t="shared" si="1"/>
        <v/>
      </c>
      <c r="K32" s="19" t="str">
        <f>IF($A32="","",ROUNDUP(J32/Overview!$B$28,0))</f>
        <v/>
      </c>
      <c r="L32" s="19" t="str">
        <f>IF($A32="","",Overview!$B$29)</f>
        <v/>
      </c>
      <c r="M32" s="3" t="str">
        <f>IF(AND($A32="",$E32=""),"",IF($A32="","Enter a Packet ID",IF(COUNTIF($A$5:$A$34,$A32)&gt;1,"Duplicate Packet ID",IF($F32=0,"No Field IDs entered",IF(SUMPRODUCT(--ISNUMBER(FIND(","&amp;Fields!$A$5:$A$48&amp;",",","&amp;$P32&amp;",")))&lt;&gt;$F32,"Check Field IDs: unknown, blank, or repeated",IF(COUNTIFS(Packets!$L$5:$L$404,ROWS($A$5:$A32),Packets!$D$5:$D$404,"ERR")+COUNTIFS(Packets!$L$5:$L$404,ROWS($A$5:$A32),Packets!$E$5:$E$404,"MISSING")&gt;0,"Layout error: see Packets tab",IF($O32&gt;ROWS(Packets!$A$5:$A$404),"Exceeds Packets tab capacity","OK")))))))</f>
        <v/>
      </c>
      <c r="N32" s="18"/>
      <c r="O32" s="20">
        <f>SUM($F$5:$F32)+COUNTA($A$5:$A32)</f>
        <v>86</v>
      </c>
      <c r="P32" s="20" t="str">
        <f t="shared" si="2"/>
        <v/>
      </c>
    </row>
    <row r="33" spans="1:16" x14ac:dyDescent="0.35">
      <c r="A33" s="13"/>
      <c r="B33" s="14"/>
      <c r="C33" s="14"/>
      <c r="D33" s="14"/>
      <c r="E33" s="13"/>
      <c r="F33" s="15" t="str">
        <f t="shared" si="0"/>
        <v/>
      </c>
      <c r="G33" s="15" t="str">
        <f>IF($A33="","",SUMIFS(Packets!$G$5:$G$404,Packets!$L$5:$L$404,ROWS($A$5:$A33),Packets!$C$5:$C$404,"&lt;="&amp;$F33))</f>
        <v/>
      </c>
      <c r="H33" s="15" t="str">
        <f>IF($A33="","",Overview!$B$27)</f>
        <v/>
      </c>
      <c r="I33" s="15" t="str">
        <f>IF($A33="","",Overview!$B$26)</f>
        <v/>
      </c>
      <c r="J33" s="15" t="str">
        <f t="shared" si="1"/>
        <v/>
      </c>
      <c r="K33" s="15" t="str">
        <f>IF($A33="","",ROUNDUP(J33/Overview!$B$28,0))</f>
        <v/>
      </c>
      <c r="L33" s="15" t="str">
        <f>IF($A33="","",Overview!$B$29)</f>
        <v/>
      </c>
      <c r="M33" s="2" t="str">
        <f>IF(AND($A33="",$E33=""),"",IF($A33="","Enter a Packet ID",IF(COUNTIF($A$5:$A$34,$A33)&gt;1,"Duplicate Packet ID",IF($F33=0,"No Field IDs entered",IF(SUMPRODUCT(--ISNUMBER(FIND(","&amp;Fields!$A$5:$A$48&amp;",",","&amp;$P33&amp;",")))&lt;&gt;$F33,"Check Field IDs: unknown, blank, or repeated",IF(COUNTIFS(Packets!$L$5:$L$404,ROWS($A$5:$A33),Packets!$D$5:$D$404,"ERR")+COUNTIFS(Packets!$L$5:$L$404,ROWS($A$5:$A33),Packets!$E$5:$E$404,"MISSING")&gt;0,"Layout error: see Packets tab",IF($O33&gt;ROWS(Packets!$A$5:$A$404),"Exceeds Packets tab capacity","OK")))))))</f>
        <v/>
      </c>
      <c r="N33" s="14"/>
      <c r="O33" s="16">
        <f>SUM($F$5:$F33)+COUNTA($A$5:$A33)</f>
        <v>86</v>
      </c>
      <c r="P33" s="16" t="str">
        <f t="shared" si="2"/>
        <v/>
      </c>
    </row>
    <row r="34" spans="1:16" x14ac:dyDescent="0.35">
      <c r="A34" s="17"/>
      <c r="B34" s="18"/>
      <c r="C34" s="18"/>
      <c r="D34" s="18"/>
      <c r="E34" s="17"/>
      <c r="F34" s="19" t="str">
        <f t="shared" si="0"/>
        <v/>
      </c>
      <c r="G34" s="19" t="str">
        <f>IF($A34="","",SUMIFS(Packets!$G$5:$G$404,Packets!$L$5:$L$404,ROWS($A$5:$A34),Packets!$C$5:$C$404,"&lt;="&amp;$F34))</f>
        <v/>
      </c>
      <c r="H34" s="19" t="str">
        <f>IF($A34="","",Overview!$B$27)</f>
        <v/>
      </c>
      <c r="I34" s="19" t="str">
        <f>IF($A34="","",Overview!$B$26)</f>
        <v/>
      </c>
      <c r="J34" s="19" t="str">
        <f t="shared" si="1"/>
        <v/>
      </c>
      <c r="K34" s="19" t="str">
        <f>IF($A34="","",ROUNDUP(J34/Overview!$B$28,0))</f>
        <v/>
      </c>
      <c r="L34" s="19" t="str">
        <f>IF($A34="","",Overview!$B$29)</f>
        <v/>
      </c>
      <c r="M34" s="3" t="str">
        <f>IF(AND($A34="",$E34=""),"",IF($A34="","Enter a Packet ID",IF(COUNTIF($A$5:$A$34,$A34)&gt;1,"Duplicate Packet ID",IF($F34=0,"No Field IDs entered",IF(SUMPRODUCT(--ISNUMBER(FIND(","&amp;Fields!$A$5:$A$48&amp;",",","&amp;$P34&amp;",")))&lt;&gt;$F34,"Check Field IDs: unknown, blank, or repeated",IF(COUNTIFS(Packets!$L$5:$L$404,ROWS($A$5:$A34),Packets!$D$5:$D$404,"ERR")+COUNTIFS(Packets!$L$5:$L$404,ROWS($A$5:$A34),Packets!$E$5:$E$404,"MISSING")&gt;0,"Layout error: see Packets tab",IF($O34&gt;ROWS(Packets!$A$5:$A$404),"Exceeds Packets tab capacity","OK")))))))</f>
        <v/>
      </c>
      <c r="N34" s="18"/>
      <c r="O34" s="20">
        <f>SUM($F$5:$F34)+COUNTA($A$5:$A34)</f>
        <v>86</v>
      </c>
      <c r="P34" s="20" t="str">
        <f t="shared" si="2"/>
        <v/>
      </c>
    </row>
  </sheetData>
  <mergeCells count="2">
    <mergeCell ref="A1:N1"/>
    <mergeCell ref="A2:N2"/>
  </mergeCells>
  <conditionalFormatting sqref="M5:M34">
    <cfRule type="expression" dxfId="4" priority="2">
      <formula>AND($M5&lt;&gt;"",$M5&lt;&gt;"OK")</formula>
    </cfRule>
    <cfRule type="expression" dxfId="3" priority="3">
      <formula>$M5="OK"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04"/>
  <sheetViews>
    <sheetView showGridLines="0" zoomScaleNormal="100" workbookViewId="0">
      <pane ySplit="4" topLeftCell="A5" activePane="bottomLeft" state="frozen"/>
      <selection pane="bottomLeft" activeCell="B13" sqref="B13"/>
    </sheetView>
  </sheetViews>
  <sheetFormatPr defaultColWidth="8.6328125" defaultRowHeight="14.5" x14ac:dyDescent="0.35"/>
  <cols>
    <col min="1" max="1" width="12" customWidth="1"/>
    <col min="2" max="2" width="18" customWidth="1"/>
    <col min="3" max="3" width="8" customWidth="1"/>
    <col min="4" max="4" width="9" customWidth="1"/>
    <col min="5" max="5" width="26" customWidth="1"/>
    <col min="6" max="6" width="9" customWidth="1"/>
    <col min="7" max="7" width="11" customWidth="1"/>
    <col min="8" max="8" width="10" customWidth="1"/>
    <col min="9" max="9" width="18" customWidth="1"/>
    <col min="10" max="10" width="58" customWidth="1"/>
    <col min="11" max="11" width="50" customWidth="1"/>
    <col min="12" max="13" width="12" customWidth="1"/>
  </cols>
  <sheetData>
    <row r="1" spans="1:13" ht="27.75" customHeight="1" x14ac:dyDescent="0.35">
      <c r="A1" s="24" t="s">
        <v>251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3" ht="45" customHeight="1" x14ac:dyDescent="0.35">
      <c r="A2" s="25" t="s">
        <v>252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4" spans="1:13" ht="42" customHeight="1" x14ac:dyDescent="0.35">
      <c r="A4" s="1" t="s">
        <v>201</v>
      </c>
      <c r="B4" s="1" t="s">
        <v>253</v>
      </c>
      <c r="C4" s="1" t="s">
        <v>254</v>
      </c>
      <c r="D4" s="1" t="s">
        <v>20</v>
      </c>
      <c r="E4" s="1" t="s">
        <v>47</v>
      </c>
      <c r="F4" s="1" t="s">
        <v>255</v>
      </c>
      <c r="G4" s="1" t="s">
        <v>256</v>
      </c>
      <c r="H4" s="1" t="s">
        <v>257</v>
      </c>
      <c r="I4" s="1" t="s">
        <v>50</v>
      </c>
      <c r="J4" s="1" t="s">
        <v>52</v>
      </c>
      <c r="K4" s="1" t="s">
        <v>53</v>
      </c>
      <c r="L4" s="12" t="s">
        <v>258</v>
      </c>
      <c r="M4" s="12" t="s">
        <v>259</v>
      </c>
    </row>
    <row r="5" spans="1:13" x14ac:dyDescent="0.35">
      <c r="A5" s="21" t="str">
        <f>IF($L5="","",INDEX('Packet Builder'!$A$5:$A$34,$L5))</f>
        <v>0x01</v>
      </c>
      <c r="B5" s="21" t="str">
        <f>IF($L5="","",INDEX('Packet Builder'!$B$5:$B$34,$L5))</f>
        <v>Sensors</v>
      </c>
      <c r="C5" s="22">
        <f>IF($L5="","",ROWS($L$5:L5)-(INDEX('Packet Builder'!$O$5:$O$34,$L5)-$M5-1))</f>
        <v>1</v>
      </c>
      <c r="D5" s="22">
        <f>IF($L5="","",IF($C5&gt;$M5,"EOF",IFERROR(VALUE(TRIM(MID(SUBSTITUTE(INDEX('Packet Builder'!$P$5:$P$34,$L5),",",REPT(" ",LEN(INDEX('Packet Builder'!$P$5:$P$34,$L5)))),($C5-1)*LEN(INDEX('Packet Builder'!$P$5:$P$34,$L5))+1,LEN(INDEX('Packet Builder'!$P$5:$P$34,$L5))))),"ERR")))</f>
        <v>0</v>
      </c>
      <c r="E5" s="21" t="str">
        <f>IF($L5="","",IF($C5&gt;$M5,"End of Frame Delimiter",IFERROR(INDEX(Fields!$B$5:$B$48,MATCH($D5,Fields!$A$5:$A$48,0)),"MISSING")))</f>
        <v>Witness Status</v>
      </c>
      <c r="F5" s="22">
        <f>IF($L5="","",SUMIF($L$5:L5,L5,$G$5:G5)-G5)</f>
        <v>0</v>
      </c>
      <c r="G5" s="22">
        <f>IF($L5="","",IF($C5&gt;$M5,Overview!$B$26,IFERROR(INDEX(Fields!$F$5:$F$48,MATCH($D5,Fields!$A$5:$A$48,0)),0)))</f>
        <v>2</v>
      </c>
      <c r="H5" s="22">
        <f t="shared" ref="H5:H68" si="0">IF($L5="","",F5+G5-1)</f>
        <v>1</v>
      </c>
      <c r="I5" s="21" t="str">
        <f>IF($L5="","",IF($C5&gt;$M5,IF(Overview!$B$26=1,"uint8","uint8["&amp;Overview!$B$26&amp;"]"),IFERROR(INDEX(Fields!$E$5:$E$48,MATCH($D5,Fields!$A$5:$A$48,0)),"MISSING")))</f>
        <v>bitfield[16]</v>
      </c>
      <c r="J5" s="21" t="str">
        <f>IF($L5="","",IF($C5&gt;$M5,"Fixed end-of-frame delimiter, value "&amp;Overview!$B$25&amp;".",IFERROR(INDEX(Fields!$G$5:$G$48,MATCH($D5,Fields!$A$5:$A$48,0)),"MISSING")))</f>
        <v>Byte 0 contains status flags; byte 1 is reserved. No numeric scale.</v>
      </c>
      <c r="K5" s="21" t="str">
        <f>IF($L5="","",IF($C5&gt;$M5,"n/a",IFERROR(INDEX(Fields!$H$5:$H$48,MATCH($D5,Fields!$A$5:$A$48,0)),"MISSING")))</f>
        <v>IRIS_FIELD_WITNESS_STATUS_LENGTH</v>
      </c>
      <c r="L5" s="23">
        <f>IF(ROWS($L$5:L5)&gt;MAX('Packet Builder'!$O$5:$O$34),"",COUNTIF('Packet Builder'!$O$5:$O$34,"&lt;"&amp;ROWS($L$5:L5))+1)</f>
        <v>1</v>
      </c>
      <c r="M5" s="23">
        <f>IF($L5="","",INDEX('Packet Builder'!$F$5:$F$34,$L5))</f>
        <v>8</v>
      </c>
    </row>
    <row r="6" spans="1:13" x14ac:dyDescent="0.35">
      <c r="A6" s="21" t="str">
        <f>IF($L6="","",INDEX('Packet Builder'!$A$5:$A$34,$L6))</f>
        <v>0x01</v>
      </c>
      <c r="B6" s="21" t="str">
        <f>IF($L6="","",INDEX('Packet Builder'!$B$5:$B$34,$L6))</f>
        <v>Sensors</v>
      </c>
      <c r="C6" s="22">
        <f>IF($L6="","",ROWS($L$5:L6)-(INDEX('Packet Builder'!$O$5:$O$34,$L6)-$M6-1))</f>
        <v>2</v>
      </c>
      <c r="D6" s="22">
        <f>IF($L6="","",IF($C6&gt;$M6,"EOF",IFERROR(VALUE(TRIM(MID(SUBSTITUTE(INDEX('Packet Builder'!$P$5:$P$34,$L6),",",REPT(" ",LEN(INDEX('Packet Builder'!$P$5:$P$34,$L6)))),($C6-1)*LEN(INDEX('Packet Builder'!$P$5:$P$34,$L6))+1,LEN(INDEX('Packet Builder'!$P$5:$P$34,$L6))))),"ERR")))</f>
        <v>1</v>
      </c>
      <c r="E6" s="21" t="str">
        <f>IF($L6="","",IF($C6&gt;$M6,"End of Frame Delimiter",IFERROR(INDEX(Fields!$B$5:$B$48,MATCH($D6,Fields!$A$5:$A$48,0)),"MISSING")))</f>
        <v>Witness Uptime</v>
      </c>
      <c r="F6" s="22">
        <f>IF($L6="","",SUMIF($L$5:L6,L6,$G$5:G6)-G6)</f>
        <v>2</v>
      </c>
      <c r="G6" s="22">
        <f>IF($L6="","",IF($C6&gt;$M6,Overview!$B$26,IFERROR(INDEX(Fields!$F$5:$F$48,MATCH($D6,Fields!$A$5:$A$48,0)),0)))</f>
        <v>4</v>
      </c>
      <c r="H6" s="22">
        <f t="shared" si="0"/>
        <v>5</v>
      </c>
      <c r="I6" s="21" t="str">
        <f>IF($L6="","",IF($C6&gt;$M6,IF(Overview!$B$26=1,"uint8","uint8["&amp;Overview!$B$26&amp;"]"),IFERROR(INDEX(Fields!$E$5:$E$48,MATCH($D6,Fields!$A$5:$A$48,0)),"MISSING")))</f>
        <v>uint32</v>
      </c>
      <c r="J6" s="21" t="str">
        <f>IF($L6="","",IF($C6&gt;$M6,"Fixed end-of-frame delimiter, value "&amp;Overview!$B$25&amp;".",IFERROR(INDEX(Fields!$G$5:$G$48,MATCH($D6,Fields!$A$5:$A$48,0)),"MISSING")))</f>
        <v>1 ms/count; elapsed time since boot.</v>
      </c>
      <c r="K6" s="21" t="str">
        <f>IF($L6="","",IF($C6&gt;$M6,"n/a",IFERROR(INDEX(Fields!$H$5:$H$48,MATCH($D6,Fields!$A$5:$A$48,0)),"MISSING")))</f>
        <v>IRIS_FIELD_WITNESS_UPTIME_LENGTH</v>
      </c>
      <c r="L6" s="23">
        <f>IF(ROWS($L$5:L6)&gt;MAX('Packet Builder'!$O$5:$O$34),"",COUNTIF('Packet Builder'!$O$5:$O$34,"&lt;"&amp;ROWS($L$5:L6))+1)</f>
        <v>1</v>
      </c>
      <c r="M6" s="23">
        <f>IF($L6="","",INDEX('Packet Builder'!$F$5:$F$34,$L6))</f>
        <v>8</v>
      </c>
    </row>
    <row r="7" spans="1:13" ht="25" x14ac:dyDescent="0.35">
      <c r="A7" s="21" t="str">
        <f>IF($L7="","",INDEX('Packet Builder'!$A$5:$A$34,$L7))</f>
        <v>0x01</v>
      </c>
      <c r="B7" s="21" t="str">
        <f>IF($L7="","",INDEX('Packet Builder'!$B$5:$B$34,$L7))</f>
        <v>Sensors</v>
      </c>
      <c r="C7" s="22">
        <f>IF($L7="","",ROWS($L$5:L7)-(INDEX('Packet Builder'!$O$5:$O$34,$L7)-$M7-1))</f>
        <v>3</v>
      </c>
      <c r="D7" s="22">
        <f>IF($L7="","",IF($C7&gt;$M7,"EOF",IFERROR(VALUE(TRIM(MID(SUBSTITUTE(INDEX('Packet Builder'!$P$5:$P$34,$L7),",",REPT(" ",LEN(INDEX('Packet Builder'!$P$5:$P$34,$L7)))),($C7-1)*LEN(INDEX('Packet Builder'!$P$5:$P$34,$L7))+1,LEN(INDEX('Packet Builder'!$P$5:$P$34,$L7))))),"ERR")))</f>
        <v>8</v>
      </c>
      <c r="E7" s="21" t="str">
        <f>IF($L7="","",IF($C7&gt;$M7,"End of Frame Delimiter",IFERROR(INDEX(Fields!$B$5:$B$48,MATCH($D7,Fields!$A$5:$A$48,0)),"MISSING")))</f>
        <v>Filtered Accel X</v>
      </c>
      <c r="F7" s="22">
        <f>IF($L7="","",SUMIF($L$5:L7,L7,$G$5:G7)-G7)</f>
        <v>6</v>
      </c>
      <c r="G7" s="22">
        <f>IF($L7="","",IF($C7&gt;$M7,Overview!$B$26,IFERROR(INDEX(Fields!$F$5:$F$48,MATCH($D7,Fields!$A$5:$A$48,0)),0)))</f>
        <v>3</v>
      </c>
      <c r="H7" s="22">
        <f t="shared" si="0"/>
        <v>8</v>
      </c>
      <c r="I7" s="21" t="str">
        <f>IF($L7="","",IF($C7&gt;$M7,IF(Overview!$B$26=1,"uint8","uint8["&amp;Overview!$B$26&amp;"]"),IFERROR(INDEX(Fields!$E$5:$E$48,MATCH($D7,Fields!$A$5:$A$48,0)),"MISSING")))</f>
        <v>signed int24</v>
      </c>
      <c r="J7" s="21" t="str">
        <f>IF($L7="","",IF($C7&gt;$M7,"Fixed end-of-frame delimiter, value "&amp;Overview!$B$25&amp;".",IFERROR(INDEX(Fields!$G$5:$G$48,MATCH($D7,Fields!$A$5:$A$48,0)),"MISSING")))</f>
        <v>40 micro-g/count; acceleration in g = raw x 0.000040; range approximately -335.54 to +335.54 g.</v>
      </c>
      <c r="K7" s="21" t="str">
        <f>IF($L7="","",IF($C7&gt;$M7,"n/a",IFERROR(INDEX(Fields!$H$5:$H$48,MATCH($D7,Fields!$A$5:$A$48,0)),"MISSING")))</f>
        <v>IRIS_FIELD_FILTERED_ACCEL_X_LENGTH</v>
      </c>
      <c r="L7" s="23">
        <f>IF(ROWS($L$5:L7)&gt;MAX('Packet Builder'!$O$5:$O$34),"",COUNTIF('Packet Builder'!$O$5:$O$34,"&lt;"&amp;ROWS($L$5:L7))+1)</f>
        <v>1</v>
      </c>
      <c r="M7" s="23">
        <f>IF($L7="","",INDEX('Packet Builder'!$F$5:$F$34,$L7))</f>
        <v>8</v>
      </c>
    </row>
    <row r="8" spans="1:13" ht="25" x14ac:dyDescent="0.35">
      <c r="A8" s="21" t="str">
        <f>IF($L8="","",INDEX('Packet Builder'!$A$5:$A$34,$L8))</f>
        <v>0x01</v>
      </c>
      <c r="B8" s="21" t="str">
        <f>IF($L8="","",INDEX('Packet Builder'!$B$5:$B$34,$L8))</f>
        <v>Sensors</v>
      </c>
      <c r="C8" s="22">
        <f>IF($L8="","",ROWS($L$5:L8)-(INDEX('Packet Builder'!$O$5:$O$34,$L8)-$M8-1))</f>
        <v>4</v>
      </c>
      <c r="D8" s="22">
        <f>IF($L8="","",IF($C8&gt;$M8,"EOF",IFERROR(VALUE(TRIM(MID(SUBSTITUTE(INDEX('Packet Builder'!$P$5:$P$34,$L8),",",REPT(" ",LEN(INDEX('Packet Builder'!$P$5:$P$34,$L8)))),($C8-1)*LEN(INDEX('Packet Builder'!$P$5:$P$34,$L8))+1,LEN(INDEX('Packet Builder'!$P$5:$P$34,$L8))))),"ERR")))</f>
        <v>9</v>
      </c>
      <c r="E8" s="21" t="str">
        <f>IF($L8="","",IF($C8&gt;$M8,"End of Frame Delimiter",IFERROR(INDEX(Fields!$B$5:$B$48,MATCH($D8,Fields!$A$5:$A$48,0)),"MISSING")))</f>
        <v>Filtered Accel Y</v>
      </c>
      <c r="F8" s="22">
        <f>IF($L8="","",SUMIF($L$5:L8,L8,$G$5:G8)-G8)</f>
        <v>9</v>
      </c>
      <c r="G8" s="22">
        <f>IF($L8="","",IF($C8&gt;$M8,Overview!$B$26,IFERROR(INDEX(Fields!$F$5:$F$48,MATCH($D8,Fields!$A$5:$A$48,0)),0)))</f>
        <v>3</v>
      </c>
      <c r="H8" s="22">
        <f t="shared" si="0"/>
        <v>11</v>
      </c>
      <c r="I8" s="21" t="str">
        <f>IF($L8="","",IF($C8&gt;$M8,IF(Overview!$B$26=1,"uint8","uint8["&amp;Overview!$B$26&amp;"]"),IFERROR(INDEX(Fields!$E$5:$E$48,MATCH($D8,Fields!$A$5:$A$48,0)),"MISSING")))</f>
        <v>signed int24</v>
      </c>
      <c r="J8" s="21" t="str">
        <f>IF($L8="","",IF($C8&gt;$M8,"Fixed end-of-frame delimiter, value "&amp;Overview!$B$25&amp;".",IFERROR(INDEX(Fields!$G$5:$G$48,MATCH($D8,Fields!$A$5:$A$48,0)),"MISSING")))</f>
        <v>40 micro-g/count; acceleration in g = raw x 0.000040; range approximately -335.54 to +335.54 g.</v>
      </c>
      <c r="K8" s="21" t="str">
        <f>IF($L8="","",IF($C8&gt;$M8,"n/a",IFERROR(INDEX(Fields!$H$5:$H$48,MATCH($D8,Fields!$A$5:$A$48,0)),"MISSING")))</f>
        <v>IRIS_FIELD_FILTERED_ACCEL_Y_LENGTH</v>
      </c>
      <c r="L8" s="23">
        <f>IF(ROWS($L$5:L8)&gt;MAX('Packet Builder'!$O$5:$O$34),"",COUNTIF('Packet Builder'!$O$5:$O$34,"&lt;"&amp;ROWS($L$5:L8))+1)</f>
        <v>1</v>
      </c>
      <c r="M8" s="23">
        <f>IF($L8="","",INDEX('Packet Builder'!$F$5:$F$34,$L8))</f>
        <v>8</v>
      </c>
    </row>
    <row r="9" spans="1:13" ht="25" x14ac:dyDescent="0.35">
      <c r="A9" s="21" t="str">
        <f>IF($L9="","",INDEX('Packet Builder'!$A$5:$A$34,$L9))</f>
        <v>0x01</v>
      </c>
      <c r="B9" s="21" t="str">
        <f>IF($L9="","",INDEX('Packet Builder'!$B$5:$B$34,$L9))</f>
        <v>Sensors</v>
      </c>
      <c r="C9" s="22">
        <f>IF($L9="","",ROWS($L$5:L9)-(INDEX('Packet Builder'!$O$5:$O$34,$L9)-$M9-1))</f>
        <v>5</v>
      </c>
      <c r="D9" s="22">
        <f>IF($L9="","",IF($C9&gt;$M9,"EOF",IFERROR(VALUE(TRIM(MID(SUBSTITUTE(INDEX('Packet Builder'!$P$5:$P$34,$L9),",",REPT(" ",LEN(INDEX('Packet Builder'!$P$5:$P$34,$L9)))),($C9-1)*LEN(INDEX('Packet Builder'!$P$5:$P$34,$L9))+1,LEN(INDEX('Packet Builder'!$P$5:$P$34,$L9))))),"ERR")))</f>
        <v>10</v>
      </c>
      <c r="E9" s="21" t="str">
        <f>IF($L9="","",IF($C9&gt;$M9,"End of Frame Delimiter",IFERROR(INDEX(Fields!$B$5:$B$48,MATCH($D9,Fields!$A$5:$A$48,0)),"MISSING")))</f>
        <v>Filtered Accel Z</v>
      </c>
      <c r="F9" s="22">
        <f>IF($L9="","",SUMIF($L$5:L9,L9,$G$5:G9)-G9)</f>
        <v>12</v>
      </c>
      <c r="G9" s="22">
        <f>IF($L9="","",IF($C9&gt;$M9,Overview!$B$26,IFERROR(INDEX(Fields!$F$5:$F$48,MATCH($D9,Fields!$A$5:$A$48,0)),0)))</f>
        <v>3</v>
      </c>
      <c r="H9" s="22">
        <f t="shared" si="0"/>
        <v>14</v>
      </c>
      <c r="I9" s="21" t="str">
        <f>IF($L9="","",IF($C9&gt;$M9,IF(Overview!$B$26=1,"uint8","uint8["&amp;Overview!$B$26&amp;"]"),IFERROR(INDEX(Fields!$E$5:$E$48,MATCH($D9,Fields!$A$5:$A$48,0)),"MISSING")))</f>
        <v>signed int24</v>
      </c>
      <c r="J9" s="21" t="str">
        <f>IF($L9="","",IF($C9&gt;$M9,"Fixed end-of-frame delimiter, value "&amp;Overview!$B$25&amp;".",IFERROR(INDEX(Fields!$G$5:$G$48,MATCH($D9,Fields!$A$5:$A$48,0)),"MISSING")))</f>
        <v>40 micro-g/count; acceleration in g = raw x 0.000040; range approximately -335.54 to +335.54 g.</v>
      </c>
      <c r="K9" s="21" t="str">
        <f>IF($L9="","",IF($C9&gt;$M9,"n/a",IFERROR(INDEX(Fields!$H$5:$H$48,MATCH($D9,Fields!$A$5:$A$48,0)),"MISSING")))</f>
        <v>IRIS_FIELD_FILTERED_ACCEL_Z_LENGTH</v>
      </c>
      <c r="L9" s="23">
        <f>IF(ROWS($L$5:L9)&gt;MAX('Packet Builder'!$O$5:$O$34),"",COUNTIF('Packet Builder'!$O$5:$O$34,"&lt;"&amp;ROWS($L$5:L9))+1)</f>
        <v>1</v>
      </c>
      <c r="M9" s="23">
        <f>IF($L9="","",INDEX('Packet Builder'!$F$5:$F$34,$L9))</f>
        <v>8</v>
      </c>
    </row>
    <row r="10" spans="1:13" x14ac:dyDescent="0.35">
      <c r="A10" s="21" t="str">
        <f>IF($L10="","",INDEX('Packet Builder'!$A$5:$A$34,$L10))</f>
        <v>0x01</v>
      </c>
      <c r="B10" s="21" t="str">
        <f>IF($L10="","",INDEX('Packet Builder'!$B$5:$B$34,$L10))</f>
        <v>Sensors</v>
      </c>
      <c r="C10" s="22">
        <f>IF($L10="","",ROWS($L$5:L10)-(INDEX('Packet Builder'!$O$5:$O$34,$L10)-$M10-1))</f>
        <v>6</v>
      </c>
      <c r="D10" s="22">
        <f>IF($L10="","",IF($C10&gt;$M10,"EOF",IFERROR(VALUE(TRIM(MID(SUBSTITUTE(INDEX('Packet Builder'!$P$5:$P$34,$L10),",",REPT(" ",LEN(INDEX('Packet Builder'!$P$5:$P$34,$L10)))),($C10-1)*LEN(INDEX('Packet Builder'!$P$5:$P$34,$L10))+1,LEN(INDEX('Packet Builder'!$P$5:$P$34,$L10))))),"ERR")))</f>
        <v>28</v>
      </c>
      <c r="E10" s="21" t="str">
        <f>IF($L10="","",IF($C10&gt;$M10,"End of Frame Delimiter",IFERROR(INDEX(Fields!$B$5:$B$48,MATCH($D10,Fields!$A$5:$A$48,0)),"MISSING")))</f>
        <v>LSM6 Gyro X</v>
      </c>
      <c r="F10" s="22">
        <f>IF($L10="","",SUMIF($L$5:L10,L10,$G$5:G10)-G10)</f>
        <v>15</v>
      </c>
      <c r="G10" s="22">
        <f>IF($L10="","",IF($C10&gt;$M10,Overview!$B$26,IFERROR(INDEX(Fields!$F$5:$F$48,MATCH($D10,Fields!$A$5:$A$48,0)),0)))</f>
        <v>2</v>
      </c>
      <c r="H10" s="22">
        <f t="shared" si="0"/>
        <v>16</v>
      </c>
      <c r="I10" s="21" t="str">
        <f>IF($L10="","",IF($C10&gt;$M10,IF(Overview!$B$26=1,"uint8","uint8["&amp;Overview!$B$26&amp;"]"),IFERROR(INDEX(Fields!$E$5:$E$48,MATCH($D10,Fields!$A$5:$A$48,0)),"MISSING")))</f>
        <v>int16</v>
      </c>
      <c r="J10" s="21" t="str">
        <f>IF($L10="","",IF($C10&gt;$M10,"Fixed end-of-frame delimiter, value "&amp;Overview!$B$25&amp;".",IFERROR(INDEX(Fields!$G$5:$G$48,MATCH($D10,Fields!$A$5:$A$48,0)),"MISSING")))</f>
        <v>70 mdps/count at +/-2000 dps.</v>
      </c>
      <c r="K10" s="21" t="str">
        <f>IF($L10="","",IF($C10&gt;$M10,"n/a",IFERROR(INDEX(Fields!$H$5:$H$48,MATCH($D10,Fields!$A$5:$A$48,0)),"MISSING")))</f>
        <v>IRIS_FIELD_LSM6_GYRO_X_LENGTH</v>
      </c>
      <c r="L10" s="23">
        <f>IF(ROWS($L$5:L10)&gt;MAX('Packet Builder'!$O$5:$O$34),"",COUNTIF('Packet Builder'!$O$5:$O$34,"&lt;"&amp;ROWS($L$5:L10))+1)</f>
        <v>1</v>
      </c>
      <c r="M10" s="23">
        <f>IF($L10="","",INDEX('Packet Builder'!$F$5:$F$34,$L10))</f>
        <v>8</v>
      </c>
    </row>
    <row r="11" spans="1:13" x14ac:dyDescent="0.35">
      <c r="A11" s="21" t="str">
        <f>IF($L11="","",INDEX('Packet Builder'!$A$5:$A$34,$L11))</f>
        <v>0x01</v>
      </c>
      <c r="B11" s="21" t="str">
        <f>IF($L11="","",INDEX('Packet Builder'!$B$5:$B$34,$L11))</f>
        <v>Sensors</v>
      </c>
      <c r="C11" s="22">
        <f>IF($L11="","",ROWS($L$5:L11)-(INDEX('Packet Builder'!$O$5:$O$34,$L11)-$M11-1))</f>
        <v>7</v>
      </c>
      <c r="D11" s="22">
        <f>IF($L11="","",IF($C11&gt;$M11,"EOF",IFERROR(VALUE(TRIM(MID(SUBSTITUTE(INDEX('Packet Builder'!$P$5:$P$34,$L11),",",REPT(" ",LEN(INDEX('Packet Builder'!$P$5:$P$34,$L11)))),($C11-1)*LEN(INDEX('Packet Builder'!$P$5:$P$34,$L11))+1,LEN(INDEX('Packet Builder'!$P$5:$P$34,$L11))))),"ERR")))</f>
        <v>29</v>
      </c>
      <c r="E11" s="21" t="str">
        <f>IF($L11="","",IF($C11&gt;$M11,"End of Frame Delimiter",IFERROR(INDEX(Fields!$B$5:$B$48,MATCH($D11,Fields!$A$5:$A$48,0)),"MISSING")))</f>
        <v>LSM6 Gyro Y</v>
      </c>
      <c r="F11" s="22">
        <f>IF($L11="","",SUMIF($L$5:L11,L11,$G$5:G11)-G11)</f>
        <v>17</v>
      </c>
      <c r="G11" s="22">
        <f>IF($L11="","",IF($C11&gt;$M11,Overview!$B$26,IFERROR(INDEX(Fields!$F$5:$F$48,MATCH($D11,Fields!$A$5:$A$48,0)),0)))</f>
        <v>2</v>
      </c>
      <c r="H11" s="22">
        <f t="shared" si="0"/>
        <v>18</v>
      </c>
      <c r="I11" s="21" t="str">
        <f>IF($L11="","",IF($C11&gt;$M11,IF(Overview!$B$26=1,"uint8","uint8["&amp;Overview!$B$26&amp;"]"),IFERROR(INDEX(Fields!$E$5:$E$48,MATCH($D11,Fields!$A$5:$A$48,0)),"MISSING")))</f>
        <v>int16</v>
      </c>
      <c r="J11" s="21" t="str">
        <f>IF($L11="","",IF($C11&gt;$M11,"Fixed end-of-frame delimiter, value "&amp;Overview!$B$25&amp;".",IFERROR(INDEX(Fields!$G$5:$G$48,MATCH($D11,Fields!$A$5:$A$48,0)),"MISSING")))</f>
        <v>70 mdps/count at +/-2000 dps.</v>
      </c>
      <c r="K11" s="21" t="str">
        <f>IF($L11="","",IF($C11&gt;$M11,"n/a",IFERROR(INDEX(Fields!$H$5:$H$48,MATCH($D11,Fields!$A$5:$A$48,0)),"MISSING")))</f>
        <v>IRIS_FIELD_LSM6_GYRO_Y_LENGTH</v>
      </c>
      <c r="L11" s="23">
        <f>IF(ROWS($L$5:L11)&gt;MAX('Packet Builder'!$O$5:$O$34),"",COUNTIF('Packet Builder'!$O$5:$O$34,"&lt;"&amp;ROWS($L$5:L11))+1)</f>
        <v>1</v>
      </c>
      <c r="M11" s="23">
        <f>IF($L11="","",INDEX('Packet Builder'!$F$5:$F$34,$L11))</f>
        <v>8</v>
      </c>
    </row>
    <row r="12" spans="1:13" x14ac:dyDescent="0.35">
      <c r="A12" s="21" t="str">
        <f>IF($L12="","",INDEX('Packet Builder'!$A$5:$A$34,$L12))</f>
        <v>0x01</v>
      </c>
      <c r="B12" s="21" t="str">
        <f>IF($L12="","",INDEX('Packet Builder'!$B$5:$B$34,$L12))</f>
        <v>Sensors</v>
      </c>
      <c r="C12" s="22">
        <f>IF($L12="","",ROWS($L$5:L12)-(INDEX('Packet Builder'!$O$5:$O$34,$L12)-$M12-1))</f>
        <v>8</v>
      </c>
      <c r="D12" s="22">
        <f>IF($L12="","",IF($C12&gt;$M12,"EOF",IFERROR(VALUE(TRIM(MID(SUBSTITUTE(INDEX('Packet Builder'!$P$5:$P$34,$L12),",",REPT(" ",LEN(INDEX('Packet Builder'!$P$5:$P$34,$L12)))),($C12-1)*LEN(INDEX('Packet Builder'!$P$5:$P$34,$L12))+1,LEN(INDEX('Packet Builder'!$P$5:$P$34,$L12))))),"ERR")))</f>
        <v>30</v>
      </c>
      <c r="E12" s="21" t="str">
        <f>IF($L12="","",IF($C12&gt;$M12,"End of Frame Delimiter",IFERROR(INDEX(Fields!$B$5:$B$48,MATCH($D12,Fields!$A$5:$A$48,0)),"MISSING")))</f>
        <v>LSM6 Gyro Z</v>
      </c>
      <c r="F12" s="22">
        <f>IF($L12="","",SUMIF($L$5:L12,L12,$G$5:G12)-G12)</f>
        <v>19</v>
      </c>
      <c r="G12" s="22">
        <f>IF($L12="","",IF($C12&gt;$M12,Overview!$B$26,IFERROR(INDEX(Fields!$F$5:$F$48,MATCH($D12,Fields!$A$5:$A$48,0)),0)))</f>
        <v>2</v>
      </c>
      <c r="H12" s="22">
        <f t="shared" si="0"/>
        <v>20</v>
      </c>
      <c r="I12" s="21" t="str">
        <f>IF($L12="","",IF($C12&gt;$M12,IF(Overview!$B$26=1,"uint8","uint8["&amp;Overview!$B$26&amp;"]"),IFERROR(INDEX(Fields!$E$5:$E$48,MATCH($D12,Fields!$A$5:$A$48,0)),"MISSING")))</f>
        <v>int16</v>
      </c>
      <c r="J12" s="21" t="str">
        <f>IF($L12="","",IF($C12&gt;$M12,"Fixed end-of-frame delimiter, value "&amp;Overview!$B$25&amp;".",IFERROR(INDEX(Fields!$G$5:$G$48,MATCH($D12,Fields!$A$5:$A$48,0)),"MISSING")))</f>
        <v>70 mdps/count at +/-2000 dps.</v>
      </c>
      <c r="K12" s="21" t="str">
        <f>IF($L12="","",IF($C12&gt;$M12,"n/a",IFERROR(INDEX(Fields!$H$5:$H$48,MATCH($D12,Fields!$A$5:$A$48,0)),"MISSING")))</f>
        <v>IRIS_FIELD_LSM6_GYRO_Z_LENGTH</v>
      </c>
      <c r="L12" s="23">
        <f>IF(ROWS($L$5:L12)&gt;MAX('Packet Builder'!$O$5:$O$34),"",COUNTIF('Packet Builder'!$O$5:$O$34,"&lt;"&amp;ROWS($L$5:L12))+1)</f>
        <v>1</v>
      </c>
      <c r="M12" s="23">
        <f>IF($L12="","",INDEX('Packet Builder'!$F$5:$F$34,$L12))</f>
        <v>8</v>
      </c>
    </row>
    <row r="13" spans="1:13" x14ac:dyDescent="0.35">
      <c r="A13" s="21" t="str">
        <f>IF($L13="","",INDEX('Packet Builder'!$A$5:$A$34,$L13))</f>
        <v>0x01</v>
      </c>
      <c r="B13" s="21" t="str">
        <f>IF($L13="","",INDEX('Packet Builder'!$B$5:$B$34,$L13))</f>
        <v>Sensors</v>
      </c>
      <c r="C13" s="22">
        <f>IF($L13="","",ROWS($L$5:L13)-(INDEX('Packet Builder'!$O$5:$O$34,$L13)-$M13-1))</f>
        <v>9</v>
      </c>
      <c r="D13" s="22" t="str">
        <f>IF($L13="","",IF($C13&gt;$M13,"EOF",IFERROR(VALUE(TRIM(MID(SUBSTITUTE(INDEX('Packet Builder'!$P$5:$P$34,$L13),",",REPT(" ",LEN(INDEX('Packet Builder'!$P$5:$P$34,$L13)))),($C13-1)*LEN(INDEX('Packet Builder'!$P$5:$P$34,$L13))+1,LEN(INDEX('Packet Builder'!$P$5:$P$34,$L13))))),"ERR")))</f>
        <v>EOF</v>
      </c>
      <c r="E13" s="21" t="str">
        <f>IF($L13="","",IF($C13&gt;$M13,"End of Frame Delimiter",IFERROR(INDEX(Fields!$B$5:$B$48,MATCH($D13,Fields!$A$5:$A$48,0)),"MISSING")))</f>
        <v>End of Frame Delimiter</v>
      </c>
      <c r="F13" s="22">
        <f>IF($L13="","",SUMIF($L$5:L13,L13,$G$5:G13)-G13)</f>
        <v>21</v>
      </c>
      <c r="G13" s="22">
        <f>IF($L13="","",IF($C13&gt;$M13,Overview!$B$26,IFERROR(INDEX(Fields!$F$5:$F$48,MATCH($D13,Fields!$A$5:$A$48,0)),0)))</f>
        <v>1</v>
      </c>
      <c r="H13" s="22">
        <f t="shared" si="0"/>
        <v>21</v>
      </c>
      <c r="I13" s="21" t="str">
        <f>IF($L13="","",IF($C13&gt;$M13,IF(Overview!$B$26=1,"uint8","uint8["&amp;Overview!$B$26&amp;"]"),IFERROR(INDEX(Fields!$E$5:$E$48,MATCH($D13,Fields!$A$5:$A$48,0)),"MISSING")))</f>
        <v>uint8</v>
      </c>
      <c r="J13" s="21" t="str">
        <f>IF($L13="","",IF($C13&gt;$M13,"Fixed end-of-frame delimiter, value "&amp;Overview!$B$25&amp;".",IFERROR(INDEX(Fields!$G$5:$G$48,MATCH($D13,Fields!$A$5:$A$48,0)),"MISSING")))</f>
        <v>Fixed end-of-frame delimiter, value 0x0A.</v>
      </c>
      <c r="K13" s="21" t="str">
        <f>IF($L13="","",IF($C13&gt;$M13,"n/a",IFERROR(INDEX(Fields!$H$5:$H$48,MATCH($D13,Fields!$A$5:$A$48,0)),"MISSING")))</f>
        <v>n/a</v>
      </c>
      <c r="L13" s="23">
        <f>IF(ROWS($L$5:L13)&gt;MAX('Packet Builder'!$O$5:$O$34),"",COUNTIF('Packet Builder'!$O$5:$O$34,"&lt;"&amp;ROWS($L$5:L13))+1)</f>
        <v>1</v>
      </c>
      <c r="M13" s="23">
        <f>IF($L13="","",INDEX('Packet Builder'!$F$5:$F$34,$L13))</f>
        <v>8</v>
      </c>
    </row>
    <row r="14" spans="1:13" x14ac:dyDescent="0.35">
      <c r="A14" s="21" t="str">
        <f>IF($L14="","",INDEX('Packet Builder'!$A$5:$A$34,$L14))</f>
        <v>0x02</v>
      </c>
      <c r="B14" s="21" t="str">
        <f>IF($L14="","",INDEX('Packet Builder'!$B$5:$B$34,$L14))</f>
        <v>State</v>
      </c>
      <c r="C14" s="22">
        <f>IF($L14="","",ROWS($L$5:L14)-(INDEX('Packet Builder'!$O$5:$O$34,$L14)-$M14-1))</f>
        <v>1</v>
      </c>
      <c r="D14" s="22">
        <f>IF($L14="","",IF($C14&gt;$M14,"EOF",IFERROR(VALUE(TRIM(MID(SUBSTITUTE(INDEX('Packet Builder'!$P$5:$P$34,$L14),",",REPT(" ",LEN(INDEX('Packet Builder'!$P$5:$P$34,$L14)))),($C14-1)*LEN(INDEX('Packet Builder'!$P$5:$P$34,$L14))+1,LEN(INDEX('Packet Builder'!$P$5:$P$34,$L14))))),"ERR")))</f>
        <v>0</v>
      </c>
      <c r="E14" s="21" t="str">
        <f>IF($L14="","",IF($C14&gt;$M14,"End of Frame Delimiter",IFERROR(INDEX(Fields!$B$5:$B$48,MATCH($D14,Fields!$A$5:$A$48,0)),"MISSING")))</f>
        <v>Witness Status</v>
      </c>
      <c r="F14" s="22">
        <f>IF($L14="","",SUMIF($L$5:L14,L14,$G$5:G14)-G14)</f>
        <v>0</v>
      </c>
      <c r="G14" s="22">
        <f>IF($L14="","",IF($C14&gt;$M14,Overview!$B$26,IFERROR(INDEX(Fields!$F$5:$F$48,MATCH($D14,Fields!$A$5:$A$48,0)),0)))</f>
        <v>2</v>
      </c>
      <c r="H14" s="22">
        <f t="shared" si="0"/>
        <v>1</v>
      </c>
      <c r="I14" s="21" t="str">
        <f>IF($L14="","",IF($C14&gt;$M14,IF(Overview!$B$26=1,"uint8","uint8["&amp;Overview!$B$26&amp;"]"),IFERROR(INDEX(Fields!$E$5:$E$48,MATCH($D14,Fields!$A$5:$A$48,0)),"MISSING")))</f>
        <v>bitfield[16]</v>
      </c>
      <c r="J14" s="21" t="str">
        <f>IF($L14="","",IF($C14&gt;$M14,"Fixed end-of-frame delimiter, value "&amp;Overview!$B$25&amp;".",IFERROR(INDEX(Fields!$G$5:$G$48,MATCH($D14,Fields!$A$5:$A$48,0)),"MISSING")))</f>
        <v>Byte 0 contains status flags; byte 1 is reserved. No numeric scale.</v>
      </c>
      <c r="K14" s="21" t="str">
        <f>IF($L14="","",IF($C14&gt;$M14,"n/a",IFERROR(INDEX(Fields!$H$5:$H$48,MATCH($D14,Fields!$A$5:$A$48,0)),"MISSING")))</f>
        <v>IRIS_FIELD_WITNESS_STATUS_LENGTH</v>
      </c>
      <c r="L14" s="23">
        <f>IF(ROWS($L$5:L14)&gt;MAX('Packet Builder'!$O$5:$O$34),"",COUNTIF('Packet Builder'!$O$5:$O$34,"&lt;"&amp;ROWS($L$5:L14))+1)</f>
        <v>2</v>
      </c>
      <c r="M14" s="23">
        <f>IF($L14="","",INDEX('Packet Builder'!$F$5:$F$34,$L14))</f>
        <v>17</v>
      </c>
    </row>
    <row r="15" spans="1:13" x14ac:dyDescent="0.35">
      <c r="A15" s="21" t="str">
        <f>IF($L15="","",INDEX('Packet Builder'!$A$5:$A$34,$L15))</f>
        <v>0x02</v>
      </c>
      <c r="B15" s="21" t="str">
        <f>IF($L15="","",INDEX('Packet Builder'!$B$5:$B$34,$L15))</f>
        <v>State</v>
      </c>
      <c r="C15" s="22">
        <f>IF($L15="","",ROWS($L$5:L15)-(INDEX('Packet Builder'!$O$5:$O$34,$L15)-$M15-1))</f>
        <v>2</v>
      </c>
      <c r="D15" s="22">
        <f>IF($L15="","",IF($C15&gt;$M15,"EOF",IFERROR(VALUE(TRIM(MID(SUBSTITUTE(INDEX('Packet Builder'!$P$5:$P$34,$L15),",",REPT(" ",LEN(INDEX('Packet Builder'!$P$5:$P$34,$L15)))),($C15-1)*LEN(INDEX('Packet Builder'!$P$5:$P$34,$L15))+1,LEN(INDEX('Packet Builder'!$P$5:$P$34,$L15))))),"ERR")))</f>
        <v>1</v>
      </c>
      <c r="E15" s="21" t="str">
        <f>IF($L15="","",IF($C15&gt;$M15,"End of Frame Delimiter",IFERROR(INDEX(Fields!$B$5:$B$48,MATCH($D15,Fields!$A$5:$A$48,0)),"MISSING")))</f>
        <v>Witness Uptime</v>
      </c>
      <c r="F15" s="22">
        <f>IF($L15="","",SUMIF($L$5:L15,L15,$G$5:G15)-G15)</f>
        <v>2</v>
      </c>
      <c r="G15" s="22">
        <f>IF($L15="","",IF($C15&gt;$M15,Overview!$B$26,IFERROR(INDEX(Fields!$F$5:$F$48,MATCH($D15,Fields!$A$5:$A$48,0)),0)))</f>
        <v>4</v>
      </c>
      <c r="H15" s="22">
        <f t="shared" si="0"/>
        <v>5</v>
      </c>
      <c r="I15" s="21" t="str">
        <f>IF($L15="","",IF($C15&gt;$M15,IF(Overview!$B$26=1,"uint8","uint8["&amp;Overview!$B$26&amp;"]"),IFERROR(INDEX(Fields!$E$5:$E$48,MATCH($D15,Fields!$A$5:$A$48,0)),"MISSING")))</f>
        <v>uint32</v>
      </c>
      <c r="J15" s="21" t="str">
        <f>IF($L15="","",IF($C15&gt;$M15,"Fixed end-of-frame delimiter, value "&amp;Overview!$B$25&amp;".",IFERROR(INDEX(Fields!$G$5:$G$48,MATCH($D15,Fields!$A$5:$A$48,0)),"MISSING")))</f>
        <v>1 ms/count; elapsed time since boot.</v>
      </c>
      <c r="K15" s="21" t="str">
        <f>IF($L15="","",IF($C15&gt;$M15,"n/a",IFERROR(INDEX(Fields!$H$5:$H$48,MATCH($D15,Fields!$A$5:$A$48,0)),"MISSING")))</f>
        <v>IRIS_FIELD_WITNESS_UPTIME_LENGTH</v>
      </c>
      <c r="L15" s="23">
        <f>IF(ROWS($L$5:L15)&gt;MAX('Packet Builder'!$O$5:$O$34),"",COUNTIF('Packet Builder'!$O$5:$O$34,"&lt;"&amp;ROWS($L$5:L15))+1)</f>
        <v>2</v>
      </c>
      <c r="M15" s="23">
        <f>IF($L15="","",INDEX('Packet Builder'!$F$5:$F$34,$L15))</f>
        <v>17</v>
      </c>
    </row>
    <row r="16" spans="1:13" x14ac:dyDescent="0.35">
      <c r="A16" s="21" t="str">
        <f>IF($L16="","",INDEX('Packet Builder'!$A$5:$A$34,$L16))</f>
        <v>0x02</v>
      </c>
      <c r="B16" s="21" t="str">
        <f>IF($L16="","",INDEX('Packet Builder'!$B$5:$B$34,$L16))</f>
        <v>State</v>
      </c>
      <c r="C16" s="22">
        <f>IF($L16="","",ROWS($L$5:L16)-(INDEX('Packet Builder'!$O$5:$O$34,$L16)-$M16-1))</f>
        <v>3</v>
      </c>
      <c r="D16" s="22">
        <f>IF($L16="","",IF($C16&gt;$M16,"EOF",IFERROR(VALUE(TRIM(MID(SUBSTITUTE(INDEX('Packet Builder'!$P$5:$P$34,$L16),",",REPT(" ",LEN(INDEX('Packet Builder'!$P$5:$P$34,$L16)))),($C16-1)*LEN(INDEX('Packet Builder'!$P$5:$P$34,$L16))+1,LEN(INDEX('Packet Builder'!$P$5:$P$34,$L16))))),"ERR")))</f>
        <v>11</v>
      </c>
      <c r="E16" s="21" t="str">
        <f>IF($L16="","",IF($C16&gt;$M16,"End of Frame Delimiter",IFERROR(INDEX(Fields!$B$5:$B$48,MATCH($D16,Fields!$A$5:$A$48,0)),"MISSING")))</f>
        <v>Orientation Quaternion X</v>
      </c>
      <c r="F16" s="22">
        <f>IF($L16="","",SUMIF($L$5:L16,L16,$G$5:G16)-G16)</f>
        <v>6</v>
      </c>
      <c r="G16" s="22">
        <f>IF($L16="","",IF($C16&gt;$M16,Overview!$B$26,IFERROR(INDEX(Fields!$F$5:$F$48,MATCH($D16,Fields!$A$5:$A$48,0)),0)))</f>
        <v>4</v>
      </c>
      <c r="H16" s="22">
        <f t="shared" si="0"/>
        <v>9</v>
      </c>
      <c r="I16" s="21" t="str">
        <f>IF($L16="","",IF($C16&gt;$M16,IF(Overview!$B$26=1,"uint8","uint8["&amp;Overview!$B$26&amp;"]"),IFERROR(INDEX(Fields!$E$5:$E$48,MATCH($D16,Fields!$A$5:$A$48,0)),"MISSING")))</f>
        <v>IEEE-754 float32</v>
      </c>
      <c r="J16" s="21" t="str">
        <f>IF($L16="","",IF($C16&gt;$M16,"Fixed end-of-frame delimiter, value "&amp;Overview!$B$25&amp;".",IFERROR(INDEX(Fields!$G$5:$G$48,MATCH($D16,Fields!$A$5:$A$48,0)),"MISSING")))</f>
        <v>Unitless normalized quaternion component.</v>
      </c>
      <c r="K16" s="21" t="str">
        <f>IF($L16="","",IF($C16&gt;$M16,"n/a",IFERROR(INDEX(Fields!$H$5:$H$48,MATCH($D16,Fields!$A$5:$A$48,0)),"MISSING")))</f>
        <v>IRIS_FIELD_ORIENTATION_QUAT_X_LENGTH</v>
      </c>
      <c r="L16" s="23">
        <f>IF(ROWS($L$5:L16)&gt;MAX('Packet Builder'!$O$5:$O$34),"",COUNTIF('Packet Builder'!$O$5:$O$34,"&lt;"&amp;ROWS($L$5:L16))+1)</f>
        <v>2</v>
      </c>
      <c r="M16" s="23">
        <f>IF($L16="","",INDEX('Packet Builder'!$F$5:$F$34,$L16))</f>
        <v>17</v>
      </c>
    </row>
    <row r="17" spans="1:13" x14ac:dyDescent="0.35">
      <c r="A17" s="21" t="str">
        <f>IF($L17="","",INDEX('Packet Builder'!$A$5:$A$34,$L17))</f>
        <v>0x02</v>
      </c>
      <c r="B17" s="21" t="str">
        <f>IF($L17="","",INDEX('Packet Builder'!$B$5:$B$34,$L17))</f>
        <v>State</v>
      </c>
      <c r="C17" s="22">
        <f>IF($L17="","",ROWS($L$5:L17)-(INDEX('Packet Builder'!$O$5:$O$34,$L17)-$M17-1))</f>
        <v>4</v>
      </c>
      <c r="D17" s="22">
        <f>IF($L17="","",IF($C17&gt;$M17,"EOF",IFERROR(VALUE(TRIM(MID(SUBSTITUTE(INDEX('Packet Builder'!$P$5:$P$34,$L17),",",REPT(" ",LEN(INDEX('Packet Builder'!$P$5:$P$34,$L17)))),($C17-1)*LEN(INDEX('Packet Builder'!$P$5:$P$34,$L17))+1,LEN(INDEX('Packet Builder'!$P$5:$P$34,$L17))))),"ERR")))</f>
        <v>12</v>
      </c>
      <c r="E17" s="21" t="str">
        <f>IF($L17="","",IF($C17&gt;$M17,"End of Frame Delimiter",IFERROR(INDEX(Fields!$B$5:$B$48,MATCH($D17,Fields!$A$5:$A$48,0)),"MISSING")))</f>
        <v>Orientation Quaternion Y</v>
      </c>
      <c r="F17" s="22">
        <f>IF($L17="","",SUMIF($L$5:L17,L17,$G$5:G17)-G17)</f>
        <v>10</v>
      </c>
      <c r="G17" s="22">
        <f>IF($L17="","",IF($C17&gt;$M17,Overview!$B$26,IFERROR(INDEX(Fields!$F$5:$F$48,MATCH($D17,Fields!$A$5:$A$48,0)),0)))</f>
        <v>4</v>
      </c>
      <c r="H17" s="22">
        <f t="shared" si="0"/>
        <v>13</v>
      </c>
      <c r="I17" s="21" t="str">
        <f>IF($L17="","",IF($C17&gt;$M17,IF(Overview!$B$26=1,"uint8","uint8["&amp;Overview!$B$26&amp;"]"),IFERROR(INDEX(Fields!$E$5:$E$48,MATCH($D17,Fields!$A$5:$A$48,0)),"MISSING")))</f>
        <v>IEEE-754 float32</v>
      </c>
      <c r="J17" s="21" t="str">
        <f>IF($L17="","",IF($C17&gt;$M17,"Fixed end-of-frame delimiter, value "&amp;Overview!$B$25&amp;".",IFERROR(INDEX(Fields!$G$5:$G$48,MATCH($D17,Fields!$A$5:$A$48,0)),"MISSING")))</f>
        <v>Unitless normalized quaternion component.</v>
      </c>
      <c r="K17" s="21" t="str">
        <f>IF($L17="","",IF($C17&gt;$M17,"n/a",IFERROR(INDEX(Fields!$H$5:$H$48,MATCH($D17,Fields!$A$5:$A$48,0)),"MISSING")))</f>
        <v>IRIS_FIELD_ORIENTATION_QUAT_Y_LENGTH</v>
      </c>
      <c r="L17" s="23">
        <f>IF(ROWS($L$5:L17)&gt;MAX('Packet Builder'!$O$5:$O$34),"",COUNTIF('Packet Builder'!$O$5:$O$34,"&lt;"&amp;ROWS($L$5:L17))+1)</f>
        <v>2</v>
      </c>
      <c r="M17" s="23">
        <f>IF($L17="","",INDEX('Packet Builder'!$F$5:$F$34,$L17))</f>
        <v>17</v>
      </c>
    </row>
    <row r="18" spans="1:13" x14ac:dyDescent="0.35">
      <c r="A18" s="21" t="str">
        <f>IF($L18="","",INDEX('Packet Builder'!$A$5:$A$34,$L18))</f>
        <v>0x02</v>
      </c>
      <c r="B18" s="21" t="str">
        <f>IF($L18="","",INDEX('Packet Builder'!$B$5:$B$34,$L18))</f>
        <v>State</v>
      </c>
      <c r="C18" s="22">
        <f>IF($L18="","",ROWS($L$5:L18)-(INDEX('Packet Builder'!$O$5:$O$34,$L18)-$M18-1))</f>
        <v>5</v>
      </c>
      <c r="D18" s="22">
        <f>IF($L18="","",IF($C18&gt;$M18,"EOF",IFERROR(VALUE(TRIM(MID(SUBSTITUTE(INDEX('Packet Builder'!$P$5:$P$34,$L18),",",REPT(" ",LEN(INDEX('Packet Builder'!$P$5:$P$34,$L18)))),($C18-1)*LEN(INDEX('Packet Builder'!$P$5:$P$34,$L18))+1,LEN(INDEX('Packet Builder'!$P$5:$P$34,$L18))))),"ERR")))</f>
        <v>13</v>
      </c>
      <c r="E18" s="21" t="str">
        <f>IF($L18="","",IF($C18&gt;$M18,"End of Frame Delimiter",IFERROR(INDEX(Fields!$B$5:$B$48,MATCH($D18,Fields!$A$5:$A$48,0)),"MISSING")))</f>
        <v>Orientation Quaternion Z</v>
      </c>
      <c r="F18" s="22">
        <f>IF($L18="","",SUMIF($L$5:L18,L18,$G$5:G18)-G18)</f>
        <v>14</v>
      </c>
      <c r="G18" s="22">
        <f>IF($L18="","",IF($C18&gt;$M18,Overview!$B$26,IFERROR(INDEX(Fields!$F$5:$F$48,MATCH($D18,Fields!$A$5:$A$48,0)),0)))</f>
        <v>4</v>
      </c>
      <c r="H18" s="22">
        <f t="shared" si="0"/>
        <v>17</v>
      </c>
      <c r="I18" s="21" t="str">
        <f>IF($L18="","",IF($C18&gt;$M18,IF(Overview!$B$26=1,"uint8","uint8["&amp;Overview!$B$26&amp;"]"),IFERROR(INDEX(Fields!$E$5:$E$48,MATCH($D18,Fields!$A$5:$A$48,0)),"MISSING")))</f>
        <v>IEEE-754 float32</v>
      </c>
      <c r="J18" s="21" t="str">
        <f>IF($L18="","",IF($C18&gt;$M18,"Fixed end-of-frame delimiter, value "&amp;Overview!$B$25&amp;".",IFERROR(INDEX(Fields!$G$5:$G$48,MATCH($D18,Fields!$A$5:$A$48,0)),"MISSING")))</f>
        <v>Unitless normalized quaternion component.</v>
      </c>
      <c r="K18" s="21" t="str">
        <f>IF($L18="","",IF($C18&gt;$M18,"n/a",IFERROR(INDEX(Fields!$H$5:$H$48,MATCH($D18,Fields!$A$5:$A$48,0)),"MISSING")))</f>
        <v>IRIS_FIELD_ORIENTATION_QUAT_Z_LENGTH</v>
      </c>
      <c r="L18" s="23">
        <f>IF(ROWS($L$5:L18)&gt;MAX('Packet Builder'!$O$5:$O$34),"",COUNTIF('Packet Builder'!$O$5:$O$34,"&lt;"&amp;ROWS($L$5:L18))+1)</f>
        <v>2</v>
      </c>
      <c r="M18" s="23">
        <f>IF($L18="","",INDEX('Packet Builder'!$F$5:$F$34,$L18))</f>
        <v>17</v>
      </c>
    </row>
    <row r="19" spans="1:13" x14ac:dyDescent="0.35">
      <c r="A19" s="21" t="str">
        <f>IF($L19="","",INDEX('Packet Builder'!$A$5:$A$34,$L19))</f>
        <v>0x02</v>
      </c>
      <c r="B19" s="21" t="str">
        <f>IF($L19="","",INDEX('Packet Builder'!$B$5:$B$34,$L19))</f>
        <v>State</v>
      </c>
      <c r="C19" s="22">
        <f>IF($L19="","",ROWS($L$5:L19)-(INDEX('Packet Builder'!$O$5:$O$34,$L19)-$M19-1))</f>
        <v>6</v>
      </c>
      <c r="D19" s="22">
        <f>IF($L19="","",IF($C19&gt;$M19,"EOF",IFERROR(VALUE(TRIM(MID(SUBSTITUTE(INDEX('Packet Builder'!$P$5:$P$34,$L19),",",REPT(" ",LEN(INDEX('Packet Builder'!$P$5:$P$34,$L19)))),($C19-1)*LEN(INDEX('Packet Builder'!$P$5:$P$34,$L19))+1,LEN(INDEX('Packet Builder'!$P$5:$P$34,$L19))))),"ERR")))</f>
        <v>14</v>
      </c>
      <c r="E19" s="21" t="str">
        <f>IF($L19="","",IF($C19&gt;$M19,"End of Frame Delimiter",IFERROR(INDEX(Fields!$B$5:$B$48,MATCH($D19,Fields!$A$5:$A$48,0)),"MISSING")))</f>
        <v>Orientation Quaternion W</v>
      </c>
      <c r="F19" s="22">
        <f>IF($L19="","",SUMIF($L$5:L19,L19,$G$5:G19)-G19)</f>
        <v>18</v>
      </c>
      <c r="G19" s="22">
        <f>IF($L19="","",IF($C19&gt;$M19,Overview!$B$26,IFERROR(INDEX(Fields!$F$5:$F$48,MATCH($D19,Fields!$A$5:$A$48,0)),0)))</f>
        <v>4</v>
      </c>
      <c r="H19" s="22">
        <f t="shared" si="0"/>
        <v>21</v>
      </c>
      <c r="I19" s="21" t="str">
        <f>IF($L19="","",IF($C19&gt;$M19,IF(Overview!$B$26=1,"uint8","uint8["&amp;Overview!$B$26&amp;"]"),IFERROR(INDEX(Fields!$E$5:$E$48,MATCH($D19,Fields!$A$5:$A$48,0)),"MISSING")))</f>
        <v>IEEE-754 float32</v>
      </c>
      <c r="J19" s="21" t="str">
        <f>IF($L19="","",IF($C19&gt;$M19,"Fixed end-of-frame delimiter, value "&amp;Overview!$B$25&amp;".",IFERROR(INDEX(Fields!$G$5:$G$48,MATCH($D19,Fields!$A$5:$A$48,0)),"MISSING")))</f>
        <v>Unitless normalized quaternion component.</v>
      </c>
      <c r="K19" s="21" t="str">
        <f>IF($L19="","",IF($C19&gt;$M19,"n/a",IFERROR(INDEX(Fields!$H$5:$H$48,MATCH($D19,Fields!$A$5:$A$48,0)),"MISSING")))</f>
        <v>IRIS_FIELD_ORIENTATION_QUAT_W_LENGTH</v>
      </c>
      <c r="L19" s="23">
        <f>IF(ROWS($L$5:L19)&gt;MAX('Packet Builder'!$O$5:$O$34),"",COUNTIF('Packet Builder'!$O$5:$O$34,"&lt;"&amp;ROWS($L$5:L19))+1)</f>
        <v>2</v>
      </c>
      <c r="M19" s="23">
        <f>IF($L19="","",INDEX('Packet Builder'!$F$5:$F$34,$L19))</f>
        <v>17</v>
      </c>
    </row>
    <row r="20" spans="1:13" x14ac:dyDescent="0.35">
      <c r="A20" s="21" t="str">
        <f>IF($L20="","",INDEX('Packet Builder'!$A$5:$A$34,$L20))</f>
        <v>0x02</v>
      </c>
      <c r="B20" s="21" t="str">
        <f>IF($L20="","",INDEX('Packet Builder'!$B$5:$B$34,$L20))</f>
        <v>State</v>
      </c>
      <c r="C20" s="22">
        <f>IF($L20="","",ROWS($L$5:L20)-(INDEX('Packet Builder'!$O$5:$O$34,$L20)-$M20-1))</f>
        <v>7</v>
      </c>
      <c r="D20" s="22">
        <f>IF($L20="","",IF($C20&gt;$M20,"EOF",IFERROR(VALUE(TRIM(MID(SUBSTITUTE(INDEX('Packet Builder'!$P$5:$P$34,$L20),",",REPT(" ",LEN(INDEX('Packet Builder'!$P$5:$P$34,$L20)))),($C20-1)*LEN(INDEX('Packet Builder'!$P$5:$P$34,$L20))+1,LEN(INDEX('Packet Builder'!$P$5:$P$34,$L20))))),"ERR")))</f>
        <v>15</v>
      </c>
      <c r="E20" s="21" t="str">
        <f>IF($L20="","",IF($C20&gt;$M20,"End of Frame Delimiter",IFERROR(INDEX(Fields!$B$5:$B$48,MATCH($D20,Fields!$A$5:$A$48,0)),"MISSING")))</f>
        <v>Position X</v>
      </c>
      <c r="F20" s="22">
        <f>IF($L20="","",SUMIF($L$5:L20,L20,$G$5:G20)-G20)</f>
        <v>22</v>
      </c>
      <c r="G20" s="22">
        <f>IF($L20="","",IF($C20&gt;$M20,Overview!$B$26,IFERROR(INDEX(Fields!$F$5:$F$48,MATCH($D20,Fields!$A$5:$A$48,0)),0)))</f>
        <v>4</v>
      </c>
      <c r="H20" s="22">
        <f t="shared" si="0"/>
        <v>25</v>
      </c>
      <c r="I20" s="21" t="str">
        <f>IF($L20="","",IF($C20&gt;$M20,IF(Overview!$B$26=1,"uint8","uint8["&amp;Overview!$B$26&amp;"]"),IFERROR(INDEX(Fields!$E$5:$E$48,MATCH($D20,Fields!$A$5:$A$48,0)),"MISSING")))</f>
        <v>IEEE-754 float32</v>
      </c>
      <c r="J20" s="21" t="str">
        <f>IF($L20="","",IF($C20&gt;$M20,"Fixed end-of-frame delimiter, value "&amp;Overview!$B$25&amp;".",IFERROR(INDEX(Fields!$G$5:$G$48,MATCH($D20,Fields!$A$5:$A$48,0)),"MISSING")))</f>
        <v>Meters in the estimator local frame.</v>
      </c>
      <c r="K20" s="21" t="str">
        <f>IF($L20="","",IF($C20&gt;$M20,"n/a",IFERROR(INDEX(Fields!$H$5:$H$48,MATCH($D20,Fields!$A$5:$A$48,0)),"MISSING")))</f>
        <v>IRIS_FIELD_POSITION_X_LENGTH</v>
      </c>
      <c r="L20" s="23">
        <f>IF(ROWS($L$5:L20)&gt;MAX('Packet Builder'!$O$5:$O$34),"",COUNTIF('Packet Builder'!$O$5:$O$34,"&lt;"&amp;ROWS($L$5:L20))+1)</f>
        <v>2</v>
      </c>
      <c r="M20" s="23">
        <f>IF($L20="","",INDEX('Packet Builder'!$F$5:$F$34,$L20))</f>
        <v>17</v>
      </c>
    </row>
    <row r="21" spans="1:13" x14ac:dyDescent="0.35">
      <c r="A21" s="21" t="str">
        <f>IF($L21="","",INDEX('Packet Builder'!$A$5:$A$34,$L21))</f>
        <v>0x02</v>
      </c>
      <c r="B21" s="21" t="str">
        <f>IF($L21="","",INDEX('Packet Builder'!$B$5:$B$34,$L21))</f>
        <v>State</v>
      </c>
      <c r="C21" s="22">
        <f>IF($L21="","",ROWS($L$5:L21)-(INDEX('Packet Builder'!$O$5:$O$34,$L21)-$M21-1))</f>
        <v>8</v>
      </c>
      <c r="D21" s="22">
        <f>IF($L21="","",IF($C21&gt;$M21,"EOF",IFERROR(VALUE(TRIM(MID(SUBSTITUTE(INDEX('Packet Builder'!$P$5:$P$34,$L21),",",REPT(" ",LEN(INDEX('Packet Builder'!$P$5:$P$34,$L21)))),($C21-1)*LEN(INDEX('Packet Builder'!$P$5:$P$34,$L21))+1,LEN(INDEX('Packet Builder'!$P$5:$P$34,$L21))))),"ERR")))</f>
        <v>16</v>
      </c>
      <c r="E21" s="21" t="str">
        <f>IF($L21="","",IF($C21&gt;$M21,"End of Frame Delimiter",IFERROR(INDEX(Fields!$B$5:$B$48,MATCH($D21,Fields!$A$5:$A$48,0)),"MISSING")))</f>
        <v>Position Y</v>
      </c>
      <c r="F21" s="22">
        <f>IF($L21="","",SUMIF($L$5:L21,L21,$G$5:G21)-G21)</f>
        <v>26</v>
      </c>
      <c r="G21" s="22">
        <f>IF($L21="","",IF($C21&gt;$M21,Overview!$B$26,IFERROR(INDEX(Fields!$F$5:$F$48,MATCH($D21,Fields!$A$5:$A$48,0)),0)))</f>
        <v>4</v>
      </c>
      <c r="H21" s="22">
        <f t="shared" si="0"/>
        <v>29</v>
      </c>
      <c r="I21" s="21" t="str">
        <f>IF($L21="","",IF($C21&gt;$M21,IF(Overview!$B$26=1,"uint8","uint8["&amp;Overview!$B$26&amp;"]"),IFERROR(INDEX(Fields!$E$5:$E$48,MATCH($D21,Fields!$A$5:$A$48,0)),"MISSING")))</f>
        <v>IEEE-754 float32</v>
      </c>
      <c r="J21" s="21" t="str">
        <f>IF($L21="","",IF($C21&gt;$M21,"Fixed end-of-frame delimiter, value "&amp;Overview!$B$25&amp;".",IFERROR(INDEX(Fields!$G$5:$G$48,MATCH($D21,Fields!$A$5:$A$48,0)),"MISSING")))</f>
        <v>Meters in the estimator local frame.</v>
      </c>
      <c r="K21" s="21" t="str">
        <f>IF($L21="","",IF($C21&gt;$M21,"n/a",IFERROR(INDEX(Fields!$H$5:$H$48,MATCH($D21,Fields!$A$5:$A$48,0)),"MISSING")))</f>
        <v>IRIS_FIELD_POSITION_Y_LENGTH</v>
      </c>
      <c r="L21" s="23">
        <f>IF(ROWS($L$5:L21)&gt;MAX('Packet Builder'!$O$5:$O$34),"",COUNTIF('Packet Builder'!$O$5:$O$34,"&lt;"&amp;ROWS($L$5:L21))+1)</f>
        <v>2</v>
      </c>
      <c r="M21" s="23">
        <f>IF($L21="","",INDEX('Packet Builder'!$F$5:$F$34,$L21))</f>
        <v>17</v>
      </c>
    </row>
    <row r="22" spans="1:13" x14ac:dyDescent="0.35">
      <c r="A22" s="21" t="str">
        <f>IF($L22="","",INDEX('Packet Builder'!$A$5:$A$34,$L22))</f>
        <v>0x02</v>
      </c>
      <c r="B22" s="21" t="str">
        <f>IF($L22="","",INDEX('Packet Builder'!$B$5:$B$34,$L22))</f>
        <v>State</v>
      </c>
      <c r="C22" s="22">
        <f>IF($L22="","",ROWS($L$5:L22)-(INDEX('Packet Builder'!$O$5:$O$34,$L22)-$M22-1))</f>
        <v>9</v>
      </c>
      <c r="D22" s="22">
        <f>IF($L22="","",IF($C22&gt;$M22,"EOF",IFERROR(VALUE(TRIM(MID(SUBSTITUTE(INDEX('Packet Builder'!$P$5:$P$34,$L22),",",REPT(" ",LEN(INDEX('Packet Builder'!$P$5:$P$34,$L22)))),($C22-1)*LEN(INDEX('Packet Builder'!$P$5:$P$34,$L22))+1,LEN(INDEX('Packet Builder'!$P$5:$P$34,$L22))))),"ERR")))</f>
        <v>17</v>
      </c>
      <c r="E22" s="21" t="str">
        <f>IF($L22="","",IF($C22&gt;$M22,"End of Frame Delimiter",IFERROR(INDEX(Fields!$B$5:$B$48,MATCH($D22,Fields!$A$5:$A$48,0)),"MISSING")))</f>
        <v>Position Z</v>
      </c>
      <c r="F22" s="22">
        <f>IF($L22="","",SUMIF($L$5:L22,L22,$G$5:G22)-G22)</f>
        <v>30</v>
      </c>
      <c r="G22" s="22">
        <f>IF($L22="","",IF($C22&gt;$M22,Overview!$B$26,IFERROR(INDEX(Fields!$F$5:$F$48,MATCH($D22,Fields!$A$5:$A$48,0)),0)))</f>
        <v>4</v>
      </c>
      <c r="H22" s="22">
        <f t="shared" si="0"/>
        <v>33</v>
      </c>
      <c r="I22" s="21" t="str">
        <f>IF($L22="","",IF($C22&gt;$M22,IF(Overview!$B$26=1,"uint8","uint8["&amp;Overview!$B$26&amp;"]"),IFERROR(INDEX(Fields!$E$5:$E$48,MATCH($D22,Fields!$A$5:$A$48,0)),"MISSING")))</f>
        <v>IEEE-754 float32</v>
      </c>
      <c r="J22" s="21" t="str">
        <f>IF($L22="","",IF($C22&gt;$M22,"Fixed end-of-frame delimiter, value "&amp;Overview!$B$25&amp;".",IFERROR(INDEX(Fields!$G$5:$G$48,MATCH($D22,Fields!$A$5:$A$48,0)),"MISSING")))</f>
        <v>Meters in the estimator local frame.</v>
      </c>
      <c r="K22" s="21" t="str">
        <f>IF($L22="","",IF($C22&gt;$M22,"n/a",IFERROR(INDEX(Fields!$H$5:$H$48,MATCH($D22,Fields!$A$5:$A$48,0)),"MISSING")))</f>
        <v>IRIS_FIELD_POSITION_Z_LENGTH</v>
      </c>
      <c r="L22" s="23">
        <f>IF(ROWS($L$5:L22)&gt;MAX('Packet Builder'!$O$5:$O$34),"",COUNTIF('Packet Builder'!$O$5:$O$34,"&lt;"&amp;ROWS($L$5:L22))+1)</f>
        <v>2</v>
      </c>
      <c r="M22" s="23">
        <f>IF($L22="","",INDEX('Packet Builder'!$F$5:$F$34,$L22))</f>
        <v>17</v>
      </c>
    </row>
    <row r="23" spans="1:13" x14ac:dyDescent="0.35">
      <c r="A23" s="21" t="str">
        <f>IF($L23="","",INDEX('Packet Builder'!$A$5:$A$34,$L23))</f>
        <v>0x02</v>
      </c>
      <c r="B23" s="21" t="str">
        <f>IF($L23="","",INDEX('Packet Builder'!$B$5:$B$34,$L23))</f>
        <v>State</v>
      </c>
      <c r="C23" s="22">
        <f>IF($L23="","",ROWS($L$5:L23)-(INDEX('Packet Builder'!$O$5:$O$34,$L23)-$M23-1))</f>
        <v>10</v>
      </c>
      <c r="D23" s="22">
        <f>IF($L23="","",IF($C23&gt;$M23,"EOF",IFERROR(VALUE(TRIM(MID(SUBSTITUTE(INDEX('Packet Builder'!$P$5:$P$34,$L23),",",REPT(" ",LEN(INDEX('Packet Builder'!$P$5:$P$34,$L23)))),($C23-1)*LEN(INDEX('Packet Builder'!$P$5:$P$34,$L23))+1,LEN(INDEX('Packet Builder'!$P$5:$P$34,$L23))))),"ERR")))</f>
        <v>18</v>
      </c>
      <c r="E23" s="21" t="str">
        <f>IF($L23="","",IF($C23&gt;$M23,"End of Frame Delimiter",IFERROR(INDEX(Fields!$B$5:$B$48,MATCH($D23,Fields!$A$5:$A$48,0)),"MISSING")))</f>
        <v>Velocity X</v>
      </c>
      <c r="F23" s="22">
        <f>IF($L23="","",SUMIF($L$5:L23,L23,$G$5:G23)-G23)</f>
        <v>34</v>
      </c>
      <c r="G23" s="22">
        <f>IF($L23="","",IF($C23&gt;$M23,Overview!$B$26,IFERROR(INDEX(Fields!$F$5:$F$48,MATCH($D23,Fields!$A$5:$A$48,0)),0)))</f>
        <v>4</v>
      </c>
      <c r="H23" s="22">
        <f t="shared" si="0"/>
        <v>37</v>
      </c>
      <c r="I23" s="21" t="str">
        <f>IF($L23="","",IF($C23&gt;$M23,IF(Overview!$B$26=1,"uint8","uint8["&amp;Overview!$B$26&amp;"]"),IFERROR(INDEX(Fields!$E$5:$E$48,MATCH($D23,Fields!$A$5:$A$48,0)),"MISSING")))</f>
        <v>IEEE-754 float32</v>
      </c>
      <c r="J23" s="21" t="str">
        <f>IF($L23="","",IF($C23&gt;$M23,"Fixed end-of-frame delimiter, value "&amp;Overview!$B$25&amp;".",IFERROR(INDEX(Fields!$G$5:$G$48,MATCH($D23,Fields!$A$5:$A$48,0)),"MISSING")))</f>
        <v>Meters per second in the estimator local frame.</v>
      </c>
      <c r="K23" s="21" t="str">
        <f>IF($L23="","",IF($C23&gt;$M23,"n/a",IFERROR(INDEX(Fields!$H$5:$H$48,MATCH($D23,Fields!$A$5:$A$48,0)),"MISSING")))</f>
        <v>IRIS_FIELD_VELOCITY_X_LENGTH</v>
      </c>
      <c r="L23" s="23">
        <f>IF(ROWS($L$5:L23)&gt;MAX('Packet Builder'!$O$5:$O$34),"",COUNTIF('Packet Builder'!$O$5:$O$34,"&lt;"&amp;ROWS($L$5:L23))+1)</f>
        <v>2</v>
      </c>
      <c r="M23" s="23">
        <f>IF($L23="","",INDEX('Packet Builder'!$F$5:$F$34,$L23))</f>
        <v>17</v>
      </c>
    </row>
    <row r="24" spans="1:13" x14ac:dyDescent="0.35">
      <c r="A24" s="21" t="str">
        <f>IF($L24="","",INDEX('Packet Builder'!$A$5:$A$34,$L24))</f>
        <v>0x02</v>
      </c>
      <c r="B24" s="21" t="str">
        <f>IF($L24="","",INDEX('Packet Builder'!$B$5:$B$34,$L24))</f>
        <v>State</v>
      </c>
      <c r="C24" s="22">
        <f>IF($L24="","",ROWS($L$5:L24)-(INDEX('Packet Builder'!$O$5:$O$34,$L24)-$M24-1))</f>
        <v>11</v>
      </c>
      <c r="D24" s="22">
        <f>IF($L24="","",IF($C24&gt;$M24,"EOF",IFERROR(VALUE(TRIM(MID(SUBSTITUTE(INDEX('Packet Builder'!$P$5:$P$34,$L24),",",REPT(" ",LEN(INDEX('Packet Builder'!$P$5:$P$34,$L24)))),($C24-1)*LEN(INDEX('Packet Builder'!$P$5:$P$34,$L24))+1,LEN(INDEX('Packet Builder'!$P$5:$P$34,$L24))))),"ERR")))</f>
        <v>19</v>
      </c>
      <c r="E24" s="21" t="str">
        <f>IF($L24="","",IF($C24&gt;$M24,"End of Frame Delimiter",IFERROR(INDEX(Fields!$B$5:$B$48,MATCH($D24,Fields!$A$5:$A$48,0)),"MISSING")))</f>
        <v>Velocity Y</v>
      </c>
      <c r="F24" s="22">
        <f>IF($L24="","",SUMIF($L$5:L24,L24,$G$5:G24)-G24)</f>
        <v>38</v>
      </c>
      <c r="G24" s="22">
        <f>IF($L24="","",IF($C24&gt;$M24,Overview!$B$26,IFERROR(INDEX(Fields!$F$5:$F$48,MATCH($D24,Fields!$A$5:$A$48,0)),0)))</f>
        <v>4</v>
      </c>
      <c r="H24" s="22">
        <f t="shared" si="0"/>
        <v>41</v>
      </c>
      <c r="I24" s="21" t="str">
        <f>IF($L24="","",IF($C24&gt;$M24,IF(Overview!$B$26=1,"uint8","uint8["&amp;Overview!$B$26&amp;"]"),IFERROR(INDEX(Fields!$E$5:$E$48,MATCH($D24,Fields!$A$5:$A$48,0)),"MISSING")))</f>
        <v>IEEE-754 float32</v>
      </c>
      <c r="J24" s="21" t="str">
        <f>IF($L24="","",IF($C24&gt;$M24,"Fixed end-of-frame delimiter, value "&amp;Overview!$B$25&amp;".",IFERROR(INDEX(Fields!$G$5:$G$48,MATCH($D24,Fields!$A$5:$A$48,0)),"MISSING")))</f>
        <v>Meters per second in the estimator local frame.</v>
      </c>
      <c r="K24" s="21" t="str">
        <f>IF($L24="","",IF($C24&gt;$M24,"n/a",IFERROR(INDEX(Fields!$H$5:$H$48,MATCH($D24,Fields!$A$5:$A$48,0)),"MISSING")))</f>
        <v>IRIS_FIELD_VELOCITY_Y_LENGTH</v>
      </c>
      <c r="L24" s="23">
        <f>IF(ROWS($L$5:L24)&gt;MAX('Packet Builder'!$O$5:$O$34),"",COUNTIF('Packet Builder'!$O$5:$O$34,"&lt;"&amp;ROWS($L$5:L24))+1)</f>
        <v>2</v>
      </c>
      <c r="M24" s="23">
        <f>IF($L24="","",INDEX('Packet Builder'!$F$5:$F$34,$L24))</f>
        <v>17</v>
      </c>
    </row>
    <row r="25" spans="1:13" x14ac:dyDescent="0.35">
      <c r="A25" s="21" t="str">
        <f>IF($L25="","",INDEX('Packet Builder'!$A$5:$A$34,$L25))</f>
        <v>0x02</v>
      </c>
      <c r="B25" s="21" t="str">
        <f>IF($L25="","",INDEX('Packet Builder'!$B$5:$B$34,$L25))</f>
        <v>State</v>
      </c>
      <c r="C25" s="22">
        <f>IF($L25="","",ROWS($L$5:L25)-(INDEX('Packet Builder'!$O$5:$O$34,$L25)-$M25-1))</f>
        <v>12</v>
      </c>
      <c r="D25" s="22">
        <f>IF($L25="","",IF($C25&gt;$M25,"EOF",IFERROR(VALUE(TRIM(MID(SUBSTITUTE(INDEX('Packet Builder'!$P$5:$P$34,$L25),",",REPT(" ",LEN(INDEX('Packet Builder'!$P$5:$P$34,$L25)))),($C25-1)*LEN(INDEX('Packet Builder'!$P$5:$P$34,$L25))+1,LEN(INDEX('Packet Builder'!$P$5:$P$34,$L25))))),"ERR")))</f>
        <v>20</v>
      </c>
      <c r="E25" s="21" t="str">
        <f>IF($L25="","",IF($C25&gt;$M25,"End of Frame Delimiter",IFERROR(INDEX(Fields!$B$5:$B$48,MATCH($D25,Fields!$A$5:$A$48,0)),"MISSING")))</f>
        <v>Velocity Z</v>
      </c>
      <c r="F25" s="22">
        <f>IF($L25="","",SUMIF($L$5:L25,L25,$G$5:G25)-G25)</f>
        <v>42</v>
      </c>
      <c r="G25" s="22">
        <f>IF($L25="","",IF($C25&gt;$M25,Overview!$B$26,IFERROR(INDEX(Fields!$F$5:$F$48,MATCH($D25,Fields!$A$5:$A$48,0)),0)))</f>
        <v>4</v>
      </c>
      <c r="H25" s="22">
        <f t="shared" si="0"/>
        <v>45</v>
      </c>
      <c r="I25" s="21" t="str">
        <f>IF($L25="","",IF($C25&gt;$M25,IF(Overview!$B$26=1,"uint8","uint8["&amp;Overview!$B$26&amp;"]"),IFERROR(INDEX(Fields!$E$5:$E$48,MATCH($D25,Fields!$A$5:$A$48,0)),"MISSING")))</f>
        <v>IEEE-754 float32</v>
      </c>
      <c r="J25" s="21" t="str">
        <f>IF($L25="","",IF($C25&gt;$M25,"Fixed end-of-frame delimiter, value "&amp;Overview!$B$25&amp;".",IFERROR(INDEX(Fields!$G$5:$G$48,MATCH($D25,Fields!$A$5:$A$48,0)),"MISSING")))</f>
        <v>Meters per second in the estimator local frame.</v>
      </c>
      <c r="K25" s="21" t="str">
        <f>IF($L25="","",IF($C25&gt;$M25,"n/a",IFERROR(INDEX(Fields!$H$5:$H$48,MATCH($D25,Fields!$A$5:$A$48,0)),"MISSING")))</f>
        <v>IRIS_FIELD_VELOCITY_Z_LENGTH</v>
      </c>
      <c r="L25" s="23">
        <f>IF(ROWS($L$5:L25)&gt;MAX('Packet Builder'!$O$5:$O$34),"",COUNTIF('Packet Builder'!$O$5:$O$34,"&lt;"&amp;ROWS($L$5:L25))+1)</f>
        <v>2</v>
      </c>
      <c r="M25" s="23">
        <f>IF($L25="","",INDEX('Packet Builder'!$F$5:$F$34,$L25))</f>
        <v>17</v>
      </c>
    </row>
    <row r="26" spans="1:13" x14ac:dyDescent="0.35">
      <c r="A26" s="21" t="str">
        <f>IF($L26="","",INDEX('Packet Builder'!$A$5:$A$34,$L26))</f>
        <v>0x02</v>
      </c>
      <c r="B26" s="21" t="str">
        <f>IF($L26="","",INDEX('Packet Builder'!$B$5:$B$34,$L26))</f>
        <v>State</v>
      </c>
      <c r="C26" s="22">
        <f>IF($L26="","",ROWS($L$5:L26)-(INDEX('Packet Builder'!$O$5:$O$34,$L26)-$M26-1))</f>
        <v>13</v>
      </c>
      <c r="D26" s="22">
        <f>IF($L26="","",IF($C26&gt;$M26,"EOF",IFERROR(VALUE(TRIM(MID(SUBSTITUTE(INDEX('Packet Builder'!$P$5:$P$34,$L26),",",REPT(" ",LEN(INDEX('Packet Builder'!$P$5:$P$34,$L26)))),($C26-1)*LEN(INDEX('Packet Builder'!$P$5:$P$34,$L26))+1,LEN(INDEX('Packet Builder'!$P$5:$P$34,$L26))))),"ERR")))</f>
        <v>34</v>
      </c>
      <c r="E26" s="21" t="str">
        <f>IF($L26="","",IF($C26&gt;$M26,"End of Frame Delimiter",IFERROR(INDEX(Fields!$B$5:$B$48,MATCH($D26,Fields!$A$5:$A$48,0)),"MISSING")))</f>
        <v>Latitude</v>
      </c>
      <c r="F26" s="22">
        <f>IF($L26="","",SUMIF($L$5:L26,L26,$G$5:G26)-G26)</f>
        <v>46</v>
      </c>
      <c r="G26" s="22">
        <f>IF($L26="","",IF($C26&gt;$M26,Overview!$B$26,IFERROR(INDEX(Fields!$F$5:$F$48,MATCH($D26,Fields!$A$5:$A$48,0)),0)))</f>
        <v>3</v>
      </c>
      <c r="H26" s="22">
        <f t="shared" si="0"/>
        <v>48</v>
      </c>
      <c r="I26" s="21" t="str">
        <f>IF($L26="","",IF($C26&gt;$M26,IF(Overview!$B$26=1,"uint8","uint8["&amp;Overview!$B$26&amp;"]"),IFERROR(INDEX(Fields!$E$5:$E$48,MATCH($D26,Fields!$A$5:$A$48,0)),"MISSING")))</f>
        <v>signed int24</v>
      </c>
      <c r="J26" s="21" t="str">
        <f>IF($L26="","",IF($C26&gt;$M26,"Fixed end-of-frame delimiter, value "&amp;Overview!$B$25&amp;".",IFERROR(INDEX(Fields!$G$5:$G$48,MATCH($D26,Fields!$A$5:$A$48,0)),"MISSING")))</f>
        <v>0.0001 degree/count; degrees = raw / 10,000.</v>
      </c>
      <c r="K26" s="21" t="str">
        <f>IF($L26="","",IF($C26&gt;$M26,"n/a",IFERROR(INDEX(Fields!$H$5:$H$48,MATCH($D26,Fields!$A$5:$A$48,0)),"MISSING")))</f>
        <v>IRIS_FIELD_LATITUDE_LENGTH</v>
      </c>
      <c r="L26" s="23">
        <f>IF(ROWS($L$5:L26)&gt;MAX('Packet Builder'!$O$5:$O$34),"",COUNTIF('Packet Builder'!$O$5:$O$34,"&lt;"&amp;ROWS($L$5:L26))+1)</f>
        <v>2</v>
      </c>
      <c r="M26" s="23">
        <f>IF($L26="","",INDEX('Packet Builder'!$F$5:$F$34,$L26))</f>
        <v>17</v>
      </c>
    </row>
    <row r="27" spans="1:13" x14ac:dyDescent="0.35">
      <c r="A27" s="21" t="str">
        <f>IF($L27="","",INDEX('Packet Builder'!$A$5:$A$34,$L27))</f>
        <v>0x02</v>
      </c>
      <c r="B27" s="21" t="str">
        <f>IF($L27="","",INDEX('Packet Builder'!$B$5:$B$34,$L27))</f>
        <v>State</v>
      </c>
      <c r="C27" s="22">
        <f>IF($L27="","",ROWS($L$5:L27)-(INDEX('Packet Builder'!$O$5:$O$34,$L27)-$M27-1))</f>
        <v>14</v>
      </c>
      <c r="D27" s="22">
        <f>IF($L27="","",IF($C27&gt;$M27,"EOF",IFERROR(VALUE(TRIM(MID(SUBSTITUTE(INDEX('Packet Builder'!$P$5:$P$34,$L27),",",REPT(" ",LEN(INDEX('Packet Builder'!$P$5:$P$34,$L27)))),($C27-1)*LEN(INDEX('Packet Builder'!$P$5:$P$34,$L27))+1,LEN(INDEX('Packet Builder'!$P$5:$P$34,$L27))))),"ERR")))</f>
        <v>35</v>
      </c>
      <c r="E27" s="21" t="str">
        <f>IF($L27="","",IF($C27&gt;$M27,"End of Frame Delimiter",IFERROR(INDEX(Fields!$B$5:$B$48,MATCH($D27,Fields!$A$5:$A$48,0)),"MISSING")))</f>
        <v>Longitude</v>
      </c>
      <c r="F27" s="22">
        <f>IF($L27="","",SUMIF($L$5:L27,L27,$G$5:G27)-G27)</f>
        <v>49</v>
      </c>
      <c r="G27" s="22">
        <f>IF($L27="","",IF($C27&gt;$M27,Overview!$B$26,IFERROR(INDEX(Fields!$F$5:$F$48,MATCH($D27,Fields!$A$5:$A$48,0)),0)))</f>
        <v>3</v>
      </c>
      <c r="H27" s="22">
        <f t="shared" si="0"/>
        <v>51</v>
      </c>
      <c r="I27" s="21" t="str">
        <f>IF($L27="","",IF($C27&gt;$M27,IF(Overview!$B$26=1,"uint8","uint8["&amp;Overview!$B$26&amp;"]"),IFERROR(INDEX(Fields!$E$5:$E$48,MATCH($D27,Fields!$A$5:$A$48,0)),"MISSING")))</f>
        <v>signed int24</v>
      </c>
      <c r="J27" s="21" t="str">
        <f>IF($L27="","",IF($C27&gt;$M27,"Fixed end-of-frame delimiter, value "&amp;Overview!$B$25&amp;".",IFERROR(INDEX(Fields!$G$5:$G$48,MATCH($D27,Fields!$A$5:$A$48,0)),"MISSING")))</f>
        <v>0.0001 degree/count; degrees = raw / 10,000.</v>
      </c>
      <c r="K27" s="21" t="str">
        <f>IF($L27="","",IF($C27&gt;$M27,"n/a",IFERROR(INDEX(Fields!$H$5:$H$48,MATCH($D27,Fields!$A$5:$A$48,0)),"MISSING")))</f>
        <v>IRIS_FIELD_LONGITUDE_LENGTH</v>
      </c>
      <c r="L27" s="23">
        <f>IF(ROWS($L$5:L27)&gt;MAX('Packet Builder'!$O$5:$O$34),"",COUNTIF('Packet Builder'!$O$5:$O$34,"&lt;"&amp;ROWS($L$5:L27))+1)</f>
        <v>2</v>
      </c>
      <c r="M27" s="23">
        <f>IF($L27="","",INDEX('Packet Builder'!$F$5:$F$34,$L27))</f>
        <v>17</v>
      </c>
    </row>
    <row r="28" spans="1:13" x14ac:dyDescent="0.35">
      <c r="A28" s="21" t="str">
        <f>IF($L28="","",INDEX('Packet Builder'!$A$5:$A$34,$L28))</f>
        <v>0x02</v>
      </c>
      <c r="B28" s="21" t="str">
        <f>IF($L28="","",INDEX('Packet Builder'!$B$5:$B$34,$L28))</f>
        <v>State</v>
      </c>
      <c r="C28" s="22">
        <f>IF($L28="","",ROWS($L$5:L28)-(INDEX('Packet Builder'!$O$5:$O$34,$L28)-$M28-1))</f>
        <v>15</v>
      </c>
      <c r="D28" s="22">
        <f>IF($L28="","",IF($C28&gt;$M28,"EOF",IFERROR(VALUE(TRIM(MID(SUBSTITUTE(INDEX('Packet Builder'!$P$5:$P$34,$L28),",",REPT(" ",LEN(INDEX('Packet Builder'!$P$5:$P$34,$L28)))),($C28-1)*LEN(INDEX('Packet Builder'!$P$5:$P$34,$L28))+1,LEN(INDEX('Packet Builder'!$P$5:$P$34,$L28))))),"ERR")))</f>
        <v>37</v>
      </c>
      <c r="E28" s="21" t="str">
        <f>IF($L28="","",IF($C28&gt;$M28,"End of Frame Delimiter",IFERROR(INDEX(Fields!$B$5:$B$48,MATCH($D28,Fields!$A$5:$A$48,0)),"MISSING")))</f>
        <v>GPS Altitude</v>
      </c>
      <c r="F28" s="22">
        <f>IF($L28="","",SUMIF($L$5:L28,L28,$G$5:G28)-G28)</f>
        <v>52</v>
      </c>
      <c r="G28" s="22">
        <f>IF($L28="","",IF($C28&gt;$M28,Overview!$B$26,IFERROR(INDEX(Fields!$F$5:$F$48,MATCH($D28,Fields!$A$5:$A$48,0)),0)))</f>
        <v>4</v>
      </c>
      <c r="H28" s="22">
        <f t="shared" si="0"/>
        <v>55</v>
      </c>
      <c r="I28" s="21" t="str">
        <f>IF($L28="","",IF($C28&gt;$M28,IF(Overview!$B$26=1,"uint8","uint8["&amp;Overview!$B$26&amp;"]"),IFERROR(INDEX(Fields!$E$5:$E$48,MATCH($D28,Fields!$A$5:$A$48,0)),"MISSING")))</f>
        <v>IEEE-754 float32</v>
      </c>
      <c r="J28" s="21" t="str">
        <f>IF($L28="","",IF($C28&gt;$M28,"Fixed end-of-frame delimiter, value "&amp;Overview!$B$25&amp;".",IFERROR(INDEX(Fields!$G$5:$G$48,MATCH($D28,Fields!$A$5:$A$48,0)),"MISSING")))</f>
        <v>Meters above mean sea level.</v>
      </c>
      <c r="K28" s="21" t="str">
        <f>IF($L28="","",IF($C28&gt;$M28,"n/a",IFERROR(INDEX(Fields!$H$5:$H$48,MATCH($D28,Fields!$A$5:$A$48,0)),"MISSING")))</f>
        <v>IRIS_FIELD_GPS_ALTITUDE_LENGTH</v>
      </c>
      <c r="L28" s="23">
        <f>IF(ROWS($L$5:L28)&gt;MAX('Packet Builder'!$O$5:$O$34),"",COUNTIF('Packet Builder'!$O$5:$O$34,"&lt;"&amp;ROWS($L$5:L28))+1)</f>
        <v>2</v>
      </c>
      <c r="M28" s="23">
        <f>IF($L28="","",INDEX('Packet Builder'!$F$5:$F$34,$L28))</f>
        <v>17</v>
      </c>
    </row>
    <row r="29" spans="1:13" x14ac:dyDescent="0.35">
      <c r="A29" s="21" t="str">
        <f>IF($L29="","",INDEX('Packet Builder'!$A$5:$A$34,$L29))</f>
        <v>0x02</v>
      </c>
      <c r="B29" s="21" t="str">
        <f>IF($L29="","",INDEX('Packet Builder'!$B$5:$B$34,$L29))</f>
        <v>State</v>
      </c>
      <c r="C29" s="22">
        <f>IF($L29="","",ROWS($L$5:L29)-(INDEX('Packet Builder'!$O$5:$O$34,$L29)-$M29-1))</f>
        <v>16</v>
      </c>
      <c r="D29" s="22">
        <f>IF($L29="","",IF($C29&gt;$M29,"EOF",IFERROR(VALUE(TRIM(MID(SUBSTITUTE(INDEX('Packet Builder'!$P$5:$P$34,$L29),",",REPT(" ",LEN(INDEX('Packet Builder'!$P$5:$P$34,$L29)))),($C29-1)*LEN(INDEX('Packet Builder'!$P$5:$P$34,$L29))+1,LEN(INDEX('Packet Builder'!$P$5:$P$34,$L29))))),"ERR")))</f>
        <v>33</v>
      </c>
      <c r="E29" s="21" t="str">
        <f>IF($L29="","",IF($C29&gt;$M29,"End of Frame Delimiter",IFERROR(INDEX(Fields!$B$5:$B$48,MATCH($D29,Fields!$A$5:$A$48,0)),"MISSING")))</f>
        <v>MS5607 Altitude</v>
      </c>
      <c r="F29" s="22">
        <f>IF($L29="","",SUMIF($L$5:L29,L29,$G$5:G29)-G29)</f>
        <v>56</v>
      </c>
      <c r="G29" s="22">
        <f>IF($L29="","",IF($C29&gt;$M29,Overview!$B$26,IFERROR(INDEX(Fields!$F$5:$F$48,MATCH($D29,Fields!$A$5:$A$48,0)),0)))</f>
        <v>4</v>
      </c>
      <c r="H29" s="22">
        <f t="shared" si="0"/>
        <v>59</v>
      </c>
      <c r="I29" s="21" t="str">
        <f>IF($L29="","",IF($C29&gt;$M29,IF(Overview!$B$26=1,"uint8","uint8["&amp;Overview!$B$26&amp;"]"),IFERROR(INDEX(Fields!$E$5:$E$48,MATCH($D29,Fields!$A$5:$A$48,0)),"MISSING")))</f>
        <v>IEEE-754 float32</v>
      </c>
      <c r="J29" s="21" t="str">
        <f>IF($L29="","",IF($C29&gt;$M29,"Fixed end-of-frame delimiter, value "&amp;Overview!$B$25&amp;".",IFERROR(INDEX(Fields!$G$5:$G$48,MATCH($D29,Fields!$A$5:$A$48,0)),"MISSING")))</f>
        <v>Meters above the configured pressure reference.</v>
      </c>
      <c r="K29" s="21" t="str">
        <f>IF($L29="","",IF($C29&gt;$M29,"n/a",IFERROR(INDEX(Fields!$H$5:$H$48,MATCH($D29,Fields!$A$5:$A$48,0)),"MISSING")))</f>
        <v>IRIS_FIELD_MS5607_ALTITUDE_LENGTH</v>
      </c>
      <c r="L29" s="23">
        <f>IF(ROWS($L$5:L29)&gt;MAX('Packet Builder'!$O$5:$O$34),"",COUNTIF('Packet Builder'!$O$5:$O$34,"&lt;"&amp;ROWS($L$5:L29))+1)</f>
        <v>2</v>
      </c>
      <c r="M29" s="23">
        <f>IF($L29="","",INDEX('Packet Builder'!$F$5:$F$34,$L29))</f>
        <v>17</v>
      </c>
    </row>
    <row r="30" spans="1:13" x14ac:dyDescent="0.35">
      <c r="A30" s="21" t="str">
        <f>IF($L30="","",INDEX('Packet Builder'!$A$5:$A$34,$L30))</f>
        <v>0x02</v>
      </c>
      <c r="B30" s="21" t="str">
        <f>IF($L30="","",INDEX('Packet Builder'!$B$5:$B$34,$L30))</f>
        <v>State</v>
      </c>
      <c r="C30" s="22">
        <f>IF($L30="","",ROWS($L$5:L30)-(INDEX('Packet Builder'!$O$5:$O$34,$L30)-$M30-1))</f>
        <v>17</v>
      </c>
      <c r="D30" s="22">
        <f>IF($L30="","",IF($C30&gt;$M30,"EOF",IFERROR(VALUE(TRIM(MID(SUBSTITUTE(INDEX('Packet Builder'!$P$5:$P$34,$L30),",",REPT(" ",LEN(INDEX('Packet Builder'!$P$5:$P$34,$L30)))),($C30-1)*LEN(INDEX('Packet Builder'!$P$5:$P$34,$L30))+1,LEN(INDEX('Packet Builder'!$P$5:$P$34,$L30))))),"ERR")))</f>
        <v>3</v>
      </c>
      <c r="E30" s="21" t="str">
        <f>IF($L30="","",IF($C30&gt;$M30,"End of Frame Delimiter",IFERROR(INDEX(Fields!$B$5:$B$48,MATCH($D30,Fields!$A$5:$A$48,0)),"MISSING")))</f>
        <v>Witness Battery Voltage</v>
      </c>
      <c r="F30" s="22">
        <f>IF($L30="","",SUMIF($L$5:L30,L30,$G$5:G30)-G30)</f>
        <v>60</v>
      </c>
      <c r="G30" s="22">
        <f>IF($L30="","",IF($C30&gt;$M30,Overview!$B$26,IFERROR(INDEX(Fields!$F$5:$F$48,MATCH($D30,Fields!$A$5:$A$48,0)),0)))</f>
        <v>2</v>
      </c>
      <c r="H30" s="22">
        <f t="shared" si="0"/>
        <v>61</v>
      </c>
      <c r="I30" s="21" t="str">
        <f>IF($L30="","",IF($C30&gt;$M30,IF(Overview!$B$26=1,"uint8","uint8["&amp;Overview!$B$26&amp;"]"),IFERROR(INDEX(Fields!$E$5:$E$48,MATCH($D30,Fields!$A$5:$A$48,0)),"MISSING")))</f>
        <v>uint16</v>
      </c>
      <c r="J30" s="21" t="str">
        <f>IF($L30="","",IF($C30&gt;$M30,"Fixed end-of-frame delimiter, value "&amp;Overview!$B$25&amp;".",IFERROR(INDEX(Fields!$G$5:$G$48,MATCH($D30,Fields!$A$5:$A$48,0)),"MISSING")))</f>
        <v>1 mV/count; battery voltage in millivolts.</v>
      </c>
      <c r="K30" s="21" t="str">
        <f>IF($L30="","",IF($C30&gt;$M30,"n/a",IFERROR(INDEX(Fields!$H$5:$H$48,MATCH($D30,Fields!$A$5:$A$48,0)),"MISSING")))</f>
        <v>IRIS_FIELD_WITNESS_BATTERY_VOLTAGE_LENGTH</v>
      </c>
      <c r="L30" s="23">
        <f>IF(ROWS($L$5:L30)&gt;MAX('Packet Builder'!$O$5:$O$34),"",COUNTIF('Packet Builder'!$O$5:$O$34,"&lt;"&amp;ROWS($L$5:L30))+1)</f>
        <v>2</v>
      </c>
      <c r="M30" s="23">
        <f>IF($L30="","",INDEX('Packet Builder'!$F$5:$F$34,$L30))</f>
        <v>17</v>
      </c>
    </row>
    <row r="31" spans="1:13" x14ac:dyDescent="0.35">
      <c r="A31" s="21" t="str">
        <f>IF($L31="","",INDEX('Packet Builder'!$A$5:$A$34,$L31))</f>
        <v>0x02</v>
      </c>
      <c r="B31" s="21" t="str">
        <f>IF($L31="","",INDEX('Packet Builder'!$B$5:$B$34,$L31))</f>
        <v>State</v>
      </c>
      <c r="C31" s="22">
        <f>IF($L31="","",ROWS($L$5:L31)-(INDEX('Packet Builder'!$O$5:$O$34,$L31)-$M31-1))</f>
        <v>18</v>
      </c>
      <c r="D31" s="22" t="str">
        <f>IF($L31="","",IF($C31&gt;$M31,"EOF",IFERROR(VALUE(TRIM(MID(SUBSTITUTE(INDEX('Packet Builder'!$P$5:$P$34,$L31),",",REPT(" ",LEN(INDEX('Packet Builder'!$P$5:$P$34,$L31)))),($C31-1)*LEN(INDEX('Packet Builder'!$P$5:$P$34,$L31))+1,LEN(INDEX('Packet Builder'!$P$5:$P$34,$L31))))),"ERR")))</f>
        <v>EOF</v>
      </c>
      <c r="E31" s="21" t="str">
        <f>IF($L31="","",IF($C31&gt;$M31,"End of Frame Delimiter",IFERROR(INDEX(Fields!$B$5:$B$48,MATCH($D31,Fields!$A$5:$A$48,0)),"MISSING")))</f>
        <v>End of Frame Delimiter</v>
      </c>
      <c r="F31" s="22">
        <f>IF($L31="","",SUMIF($L$5:L31,L31,$G$5:G31)-G31)</f>
        <v>62</v>
      </c>
      <c r="G31" s="22">
        <f>IF($L31="","",IF($C31&gt;$M31,Overview!$B$26,IFERROR(INDEX(Fields!$F$5:$F$48,MATCH($D31,Fields!$A$5:$A$48,0)),0)))</f>
        <v>1</v>
      </c>
      <c r="H31" s="22">
        <f t="shared" si="0"/>
        <v>62</v>
      </c>
      <c r="I31" s="21" t="str">
        <f>IF($L31="","",IF($C31&gt;$M31,IF(Overview!$B$26=1,"uint8","uint8["&amp;Overview!$B$26&amp;"]"),IFERROR(INDEX(Fields!$E$5:$E$48,MATCH($D31,Fields!$A$5:$A$48,0)),"MISSING")))</f>
        <v>uint8</v>
      </c>
      <c r="J31" s="21" t="str">
        <f>IF($L31="","",IF($C31&gt;$M31,"Fixed end-of-frame delimiter, value "&amp;Overview!$B$25&amp;".",IFERROR(INDEX(Fields!$G$5:$G$48,MATCH($D31,Fields!$A$5:$A$48,0)),"MISSING")))</f>
        <v>Fixed end-of-frame delimiter, value 0x0A.</v>
      </c>
      <c r="K31" s="21" t="str">
        <f>IF($L31="","",IF($C31&gt;$M31,"n/a",IFERROR(INDEX(Fields!$H$5:$H$48,MATCH($D31,Fields!$A$5:$A$48,0)),"MISSING")))</f>
        <v>n/a</v>
      </c>
      <c r="L31" s="23">
        <f>IF(ROWS($L$5:L31)&gt;MAX('Packet Builder'!$O$5:$O$34),"",COUNTIF('Packet Builder'!$O$5:$O$34,"&lt;"&amp;ROWS($L$5:L31))+1)</f>
        <v>2</v>
      </c>
      <c r="M31" s="23">
        <f>IF($L31="","",INDEX('Packet Builder'!$F$5:$F$34,$L31))</f>
        <v>17</v>
      </c>
    </row>
    <row r="32" spans="1:13" x14ac:dyDescent="0.35">
      <c r="A32" s="21" t="str">
        <f>IF($L32="","",INDEX('Packet Builder'!$A$5:$A$34,$L32))</f>
        <v>0x03</v>
      </c>
      <c r="B32" s="21" t="str">
        <f>IF($L32="","",INDEX('Packet Builder'!$B$5:$B$34,$L32))</f>
        <v>Camera</v>
      </c>
      <c r="C32" s="22">
        <f>IF($L32="","",ROWS($L$5:L32)-(INDEX('Packet Builder'!$O$5:$O$34,$L32)-$M32-1))</f>
        <v>1</v>
      </c>
      <c r="D32" s="22">
        <f>IF($L32="","",IF($C32&gt;$M32,"EOF",IFERROR(VALUE(TRIM(MID(SUBSTITUTE(INDEX('Packet Builder'!$P$5:$P$34,$L32),",",REPT(" ",LEN(INDEX('Packet Builder'!$P$5:$P$34,$L32)))),($C32-1)*LEN(INDEX('Packet Builder'!$P$5:$P$34,$L32))+1,LEN(INDEX('Packet Builder'!$P$5:$P$34,$L32))))),"ERR")))</f>
        <v>0</v>
      </c>
      <c r="E32" s="21" t="str">
        <f>IF($L32="","",IF($C32&gt;$M32,"End of Frame Delimiter",IFERROR(INDEX(Fields!$B$5:$B$48,MATCH($D32,Fields!$A$5:$A$48,0)),"MISSING")))</f>
        <v>Witness Status</v>
      </c>
      <c r="F32" s="22">
        <f>IF($L32="","",SUMIF($L$5:L32,L32,$G$5:G32)-G32)</f>
        <v>0</v>
      </c>
      <c r="G32" s="22">
        <f>IF($L32="","",IF($C32&gt;$M32,Overview!$B$26,IFERROR(INDEX(Fields!$F$5:$F$48,MATCH($D32,Fields!$A$5:$A$48,0)),0)))</f>
        <v>2</v>
      </c>
      <c r="H32" s="22">
        <f t="shared" si="0"/>
        <v>1</v>
      </c>
      <c r="I32" s="21" t="str">
        <f>IF($L32="","",IF($C32&gt;$M32,IF(Overview!$B$26=1,"uint8","uint8["&amp;Overview!$B$26&amp;"]"),IFERROR(INDEX(Fields!$E$5:$E$48,MATCH($D32,Fields!$A$5:$A$48,0)),"MISSING")))</f>
        <v>bitfield[16]</v>
      </c>
      <c r="J32" s="21" t="str">
        <f>IF($L32="","",IF($C32&gt;$M32,"Fixed end-of-frame delimiter, value "&amp;Overview!$B$25&amp;".",IFERROR(INDEX(Fields!$G$5:$G$48,MATCH($D32,Fields!$A$5:$A$48,0)),"MISSING")))</f>
        <v>Byte 0 contains status flags; byte 1 is reserved. No numeric scale.</v>
      </c>
      <c r="K32" s="21" t="str">
        <f>IF($L32="","",IF($C32&gt;$M32,"n/a",IFERROR(INDEX(Fields!$H$5:$H$48,MATCH($D32,Fields!$A$5:$A$48,0)),"MISSING")))</f>
        <v>IRIS_FIELD_WITNESS_STATUS_LENGTH</v>
      </c>
      <c r="L32" s="23">
        <f>IF(ROWS($L$5:L32)&gt;MAX('Packet Builder'!$O$5:$O$34),"",COUNTIF('Packet Builder'!$O$5:$O$34,"&lt;"&amp;ROWS($L$5:L32))+1)</f>
        <v>3</v>
      </c>
      <c r="M32" s="23">
        <f>IF($L32="","",INDEX('Packet Builder'!$F$5:$F$34,$L32))</f>
        <v>8</v>
      </c>
    </row>
    <row r="33" spans="1:13" x14ac:dyDescent="0.35">
      <c r="A33" s="21" t="str">
        <f>IF($L33="","",INDEX('Packet Builder'!$A$5:$A$34,$L33))</f>
        <v>0x03</v>
      </c>
      <c r="B33" s="21" t="str">
        <f>IF($L33="","",INDEX('Packet Builder'!$B$5:$B$34,$L33))</f>
        <v>Camera</v>
      </c>
      <c r="C33" s="22">
        <f>IF($L33="","",ROWS($L$5:L33)-(INDEX('Packet Builder'!$O$5:$O$34,$L33)-$M33-1))</f>
        <v>2</v>
      </c>
      <c r="D33" s="22">
        <f>IF($L33="","",IF($C33&gt;$M33,"EOF",IFERROR(VALUE(TRIM(MID(SUBSTITUTE(INDEX('Packet Builder'!$P$5:$P$34,$L33),",",REPT(" ",LEN(INDEX('Packet Builder'!$P$5:$P$34,$L33)))),($C33-1)*LEN(INDEX('Packet Builder'!$P$5:$P$34,$L33))+1,LEN(INDEX('Packet Builder'!$P$5:$P$34,$L33))))),"ERR")))</f>
        <v>1</v>
      </c>
      <c r="E33" s="21" t="str">
        <f>IF($L33="","",IF($C33&gt;$M33,"End of Frame Delimiter",IFERROR(INDEX(Fields!$B$5:$B$48,MATCH($D33,Fields!$A$5:$A$48,0)),"MISSING")))</f>
        <v>Witness Uptime</v>
      </c>
      <c r="F33" s="22">
        <f>IF($L33="","",SUMIF($L$5:L33,L33,$G$5:G33)-G33)</f>
        <v>2</v>
      </c>
      <c r="G33" s="22">
        <f>IF($L33="","",IF($C33&gt;$M33,Overview!$B$26,IFERROR(INDEX(Fields!$F$5:$F$48,MATCH($D33,Fields!$A$5:$A$48,0)),0)))</f>
        <v>4</v>
      </c>
      <c r="H33" s="22">
        <f t="shared" si="0"/>
        <v>5</v>
      </c>
      <c r="I33" s="21" t="str">
        <f>IF($L33="","",IF($C33&gt;$M33,IF(Overview!$B$26=1,"uint8","uint8["&amp;Overview!$B$26&amp;"]"),IFERROR(INDEX(Fields!$E$5:$E$48,MATCH($D33,Fields!$A$5:$A$48,0)),"MISSING")))</f>
        <v>uint32</v>
      </c>
      <c r="J33" s="21" t="str">
        <f>IF($L33="","",IF($C33&gt;$M33,"Fixed end-of-frame delimiter, value "&amp;Overview!$B$25&amp;".",IFERROR(INDEX(Fields!$G$5:$G$48,MATCH($D33,Fields!$A$5:$A$48,0)),"MISSING")))</f>
        <v>1 ms/count; elapsed time since boot.</v>
      </c>
      <c r="K33" s="21" t="str">
        <f>IF($L33="","",IF($C33&gt;$M33,"n/a",IFERROR(INDEX(Fields!$H$5:$H$48,MATCH($D33,Fields!$A$5:$A$48,0)),"MISSING")))</f>
        <v>IRIS_FIELD_WITNESS_UPTIME_LENGTH</v>
      </c>
      <c r="L33" s="23">
        <f>IF(ROWS($L$5:L33)&gt;MAX('Packet Builder'!$O$5:$O$34),"",COUNTIF('Packet Builder'!$O$5:$O$34,"&lt;"&amp;ROWS($L$5:L33))+1)</f>
        <v>3</v>
      </c>
      <c r="M33" s="23">
        <f>IF($L33="","",INDEX('Packet Builder'!$F$5:$F$34,$L33))</f>
        <v>8</v>
      </c>
    </row>
    <row r="34" spans="1:13" x14ac:dyDescent="0.35">
      <c r="A34" s="21" t="str">
        <f>IF($L34="","",INDEX('Packet Builder'!$A$5:$A$34,$L34))</f>
        <v>0x03</v>
      </c>
      <c r="B34" s="21" t="str">
        <f>IF($L34="","",INDEX('Packet Builder'!$B$5:$B$34,$L34))</f>
        <v>Camera</v>
      </c>
      <c r="C34" s="22">
        <f>IF($L34="","",ROWS($L$5:L34)-(INDEX('Packet Builder'!$O$5:$O$34,$L34)-$M34-1))</f>
        <v>3</v>
      </c>
      <c r="D34" s="22">
        <f>IF($L34="","",IF($C34&gt;$M34,"EOF",IFERROR(VALUE(TRIM(MID(SUBSTITUTE(INDEX('Packet Builder'!$P$5:$P$34,$L34),",",REPT(" ",LEN(INDEX('Packet Builder'!$P$5:$P$34,$L34)))),($C34-1)*LEN(INDEX('Packet Builder'!$P$5:$P$34,$L34))+1,LEN(INDEX('Packet Builder'!$P$5:$P$34,$L34))))),"ERR")))</f>
        <v>5</v>
      </c>
      <c r="E34" s="21" t="str">
        <f>IF($L34="","",IF($C34&gt;$M34,"End of Frame Delimiter",IFERROR(INDEX(Fields!$B$5:$B$48,MATCH($D34,Fields!$A$5:$A$48,0)),"MISSING")))</f>
        <v>IRIS Status</v>
      </c>
      <c r="F34" s="22">
        <f>IF($L34="","",SUMIF($L$5:L34,L34,$G$5:G34)-G34)</f>
        <v>6</v>
      </c>
      <c r="G34" s="22">
        <f>IF($L34="","",IF($C34&gt;$M34,Overview!$B$26,IFERROR(INDEX(Fields!$F$5:$F$48,MATCH($D34,Fields!$A$5:$A$48,0)),0)))</f>
        <v>2</v>
      </c>
      <c r="H34" s="22">
        <f t="shared" si="0"/>
        <v>7</v>
      </c>
      <c r="I34" s="21" t="str">
        <f>IF($L34="","",IF($C34&gt;$M34,IF(Overview!$B$26=1,"uint8","uint8["&amp;Overview!$B$26&amp;"]"),IFERROR(INDEX(Fields!$E$5:$E$48,MATCH($D34,Fields!$A$5:$A$48,0)),"MISSING")))</f>
        <v>bitfield[16]</v>
      </c>
      <c r="J34" s="21" t="str">
        <f>IF($L34="","",IF($C34&gt;$M34,"Fixed end-of-frame delimiter, value "&amp;Overview!$B$25&amp;".",IFERROR(INDEX(Fields!$G$5:$G$48,MATCH($D34,Fields!$A$5:$A$48,0)),"MISSING")))</f>
        <v>16 independent flags; no numeric scale.</v>
      </c>
      <c r="K34" s="21" t="str">
        <f>IF($L34="","",IF($C34&gt;$M34,"n/a",IFERROR(INDEX(Fields!$H$5:$H$48,MATCH($D34,Fields!$A$5:$A$48,0)),"MISSING")))</f>
        <v>IRIS_FIELD_IRIS_STATUS_LENGTH</v>
      </c>
      <c r="L34" s="23">
        <f>IF(ROWS($L$5:L34)&gt;MAX('Packet Builder'!$O$5:$O$34),"",COUNTIF('Packet Builder'!$O$5:$O$34,"&lt;"&amp;ROWS($L$5:L34))+1)</f>
        <v>3</v>
      </c>
      <c r="M34" s="23">
        <f>IF($L34="","",INDEX('Packet Builder'!$F$5:$F$34,$L34))</f>
        <v>8</v>
      </c>
    </row>
    <row r="35" spans="1:13" x14ac:dyDescent="0.35">
      <c r="A35" s="21" t="str">
        <f>IF($L35="","",INDEX('Packet Builder'!$A$5:$A$34,$L35))</f>
        <v>0x03</v>
      </c>
      <c r="B35" s="21" t="str">
        <f>IF($L35="","",INDEX('Packet Builder'!$B$5:$B$34,$L35))</f>
        <v>Camera</v>
      </c>
      <c r="C35" s="22">
        <f>IF($L35="","",ROWS($L$5:L35)-(INDEX('Packet Builder'!$O$5:$O$34,$L35)-$M35-1))</f>
        <v>4</v>
      </c>
      <c r="D35" s="22">
        <f>IF($L35="","",IF($C35&gt;$M35,"EOF",IFERROR(VALUE(TRIM(MID(SUBSTITUTE(INDEX('Packet Builder'!$P$5:$P$34,$L35),",",REPT(" ",LEN(INDEX('Packet Builder'!$P$5:$P$34,$L35)))),($C35-1)*LEN(INDEX('Packet Builder'!$P$5:$P$34,$L35))+1,LEN(INDEX('Packet Builder'!$P$5:$P$34,$L35))))),"ERR")))</f>
        <v>4</v>
      </c>
      <c r="E35" s="21" t="str">
        <f>IF($L35="","",IF($C35&gt;$M35,"End of Frame Delimiter",IFERROR(INDEX(Fields!$B$5:$B$48,MATCH($D35,Fields!$A$5:$A$48,0)),"MISSING")))</f>
        <v>IRIS Uptime</v>
      </c>
      <c r="F35" s="22">
        <f>IF($L35="","",SUMIF($L$5:L35,L35,$G$5:G35)-G35)</f>
        <v>8</v>
      </c>
      <c r="G35" s="22">
        <f>IF($L35="","",IF($C35&gt;$M35,Overview!$B$26,IFERROR(INDEX(Fields!$F$5:$F$48,MATCH($D35,Fields!$A$5:$A$48,0)),0)))</f>
        <v>4</v>
      </c>
      <c r="H35" s="22">
        <f t="shared" si="0"/>
        <v>11</v>
      </c>
      <c r="I35" s="21" t="str">
        <f>IF($L35="","",IF($C35&gt;$M35,IF(Overview!$B$26=1,"uint8","uint8["&amp;Overview!$B$26&amp;"]"),IFERROR(INDEX(Fields!$E$5:$E$48,MATCH($D35,Fields!$A$5:$A$48,0)),"MISSING")))</f>
        <v>uint32</v>
      </c>
      <c r="J35" s="21" t="str">
        <f>IF($L35="","",IF($C35&gt;$M35,"Fixed end-of-frame delimiter, value "&amp;Overview!$B$25&amp;".",IFERROR(INDEX(Fields!$G$5:$G$48,MATCH($D35,Fields!$A$5:$A$48,0)),"MISSING")))</f>
        <v>1 ms/count; elapsed time since boot.</v>
      </c>
      <c r="K35" s="21" t="str">
        <f>IF($L35="","",IF($C35&gt;$M35,"n/a",IFERROR(INDEX(Fields!$H$5:$H$48,MATCH($D35,Fields!$A$5:$A$48,0)),"MISSING")))</f>
        <v>IRIS_FIELD_IRIS_UPTIME_LENGTH</v>
      </c>
      <c r="L35" s="23">
        <f>IF(ROWS($L$5:L35)&gt;MAX('Packet Builder'!$O$5:$O$34),"",COUNTIF('Packet Builder'!$O$5:$O$34,"&lt;"&amp;ROWS($L$5:L35))+1)</f>
        <v>3</v>
      </c>
      <c r="M35" s="23">
        <f>IF($L35="","",INDEX('Packet Builder'!$F$5:$F$34,$L35))</f>
        <v>8</v>
      </c>
    </row>
    <row r="36" spans="1:13" x14ac:dyDescent="0.35">
      <c r="A36" s="21" t="str">
        <f>IF($L36="","",INDEX('Packet Builder'!$A$5:$A$34,$L36))</f>
        <v>0x03</v>
      </c>
      <c r="B36" s="21" t="str">
        <f>IF($L36="","",INDEX('Packet Builder'!$B$5:$B$34,$L36))</f>
        <v>Camera</v>
      </c>
      <c r="C36" s="22">
        <f>IF($L36="","",ROWS($L$5:L36)-(INDEX('Packet Builder'!$O$5:$O$34,$L36)-$M36-1))</f>
        <v>5</v>
      </c>
      <c r="D36" s="22">
        <f>IF($L36="","",IF($C36&gt;$M36,"EOF",IFERROR(VALUE(TRIM(MID(SUBSTITUTE(INDEX('Packet Builder'!$P$5:$P$34,$L36),",",REPT(" ",LEN(INDEX('Packet Builder'!$P$5:$P$34,$L36)))),($C36-1)*LEN(INDEX('Packet Builder'!$P$5:$P$34,$L36))+1,LEN(INDEX('Packet Builder'!$P$5:$P$34,$L36))))),"ERR")))</f>
        <v>38</v>
      </c>
      <c r="E36" s="21" t="str">
        <f>IF($L36="","",IF($C36&gt;$M36,"End of Frame Delimiter",IFERROR(INDEX(Fields!$B$5:$B$48,MATCH($D36,Fields!$A$5:$A$48,0)),"MISSING")))</f>
        <v>Channel 1 Current</v>
      </c>
      <c r="F36" s="22">
        <f>IF($L36="","",SUMIF($L$5:L36,L36,$G$5:G36)-G36)</f>
        <v>12</v>
      </c>
      <c r="G36" s="22">
        <f>IF($L36="","",IF($C36&gt;$M36,Overview!$B$26,IFERROR(INDEX(Fields!$F$5:$F$48,MATCH($D36,Fields!$A$5:$A$48,0)),0)))</f>
        <v>1</v>
      </c>
      <c r="H36" s="22">
        <f t="shared" si="0"/>
        <v>12</v>
      </c>
      <c r="I36" s="21" t="str">
        <f>IF($L36="","",IF($C36&gt;$M36,IF(Overview!$B$26=1,"uint8","uint8["&amp;Overview!$B$26&amp;"]"),IFERROR(INDEX(Fields!$E$5:$E$48,MATCH($D36,Fields!$A$5:$A$48,0)),"MISSING")))</f>
        <v>uint8</v>
      </c>
      <c r="J36" s="21" t="str">
        <f>IF($L36="","",IF($C36&gt;$M36,"Fixed end-of-frame delimiter, value "&amp;Overview!$B$25&amp;".",IFERROR(INDEX(Fields!$G$5:$G$48,MATCH($D36,Fields!$A$5:$A$48,0)),"MISSING")))</f>
        <v>0.1 A/count; current in amperes = raw x 0.1.</v>
      </c>
      <c r="K36" s="21" t="str">
        <f>IF($L36="","",IF($C36&gt;$M36,"n/a",IFERROR(INDEX(Fields!$H$5:$H$48,MATCH($D36,Fields!$A$5:$A$48,0)),"MISSING")))</f>
        <v>IRIS_FIELD_CH1_CURRENT_LENGTH</v>
      </c>
      <c r="L36" s="23">
        <f>IF(ROWS($L$5:L36)&gt;MAX('Packet Builder'!$O$5:$O$34),"",COUNTIF('Packet Builder'!$O$5:$O$34,"&lt;"&amp;ROWS($L$5:L36))+1)</f>
        <v>3</v>
      </c>
      <c r="M36" s="23">
        <f>IF($L36="","",INDEX('Packet Builder'!$F$5:$F$34,$L36))</f>
        <v>8</v>
      </c>
    </row>
    <row r="37" spans="1:13" x14ac:dyDescent="0.35">
      <c r="A37" s="21" t="str">
        <f>IF($L37="","",INDEX('Packet Builder'!$A$5:$A$34,$L37))</f>
        <v>0x03</v>
      </c>
      <c r="B37" s="21" t="str">
        <f>IF($L37="","",INDEX('Packet Builder'!$B$5:$B$34,$L37))</f>
        <v>Camera</v>
      </c>
      <c r="C37" s="22">
        <f>IF($L37="","",ROWS($L$5:L37)-(INDEX('Packet Builder'!$O$5:$O$34,$L37)-$M37-1))</f>
        <v>6</v>
      </c>
      <c r="D37" s="22">
        <f>IF($L37="","",IF($C37&gt;$M37,"EOF",IFERROR(VALUE(TRIM(MID(SUBSTITUTE(INDEX('Packet Builder'!$P$5:$P$34,$L37),",",REPT(" ",LEN(INDEX('Packet Builder'!$P$5:$P$34,$L37)))),($C37-1)*LEN(INDEX('Packet Builder'!$P$5:$P$34,$L37))+1,LEN(INDEX('Packet Builder'!$P$5:$P$34,$L37))))),"ERR")))</f>
        <v>39</v>
      </c>
      <c r="E37" s="21" t="str">
        <f>IF($L37="","",IF($C37&gt;$M37,"End of Frame Delimiter",IFERROR(INDEX(Fields!$B$5:$B$48,MATCH($D37,Fields!$A$5:$A$48,0)),"MISSING")))</f>
        <v>Channel 2 Current</v>
      </c>
      <c r="F37" s="22">
        <f>IF($L37="","",SUMIF($L$5:L37,L37,$G$5:G37)-G37)</f>
        <v>13</v>
      </c>
      <c r="G37" s="22">
        <f>IF($L37="","",IF($C37&gt;$M37,Overview!$B$26,IFERROR(INDEX(Fields!$F$5:$F$48,MATCH($D37,Fields!$A$5:$A$48,0)),0)))</f>
        <v>1</v>
      </c>
      <c r="H37" s="22">
        <f t="shared" si="0"/>
        <v>13</v>
      </c>
      <c r="I37" s="21" t="str">
        <f>IF($L37="","",IF($C37&gt;$M37,IF(Overview!$B$26=1,"uint8","uint8["&amp;Overview!$B$26&amp;"]"),IFERROR(INDEX(Fields!$E$5:$E$48,MATCH($D37,Fields!$A$5:$A$48,0)),"MISSING")))</f>
        <v>uint8</v>
      </c>
      <c r="J37" s="21" t="str">
        <f>IF($L37="","",IF($C37&gt;$M37,"Fixed end-of-frame delimiter, value "&amp;Overview!$B$25&amp;".",IFERROR(INDEX(Fields!$G$5:$G$48,MATCH($D37,Fields!$A$5:$A$48,0)),"MISSING")))</f>
        <v>0.1 A/count; current in amperes = raw x 0.1.</v>
      </c>
      <c r="K37" s="21" t="str">
        <f>IF($L37="","",IF($C37&gt;$M37,"n/a",IFERROR(INDEX(Fields!$H$5:$H$48,MATCH($D37,Fields!$A$5:$A$48,0)),"MISSING")))</f>
        <v>IRIS_FIELD_CH2_CURRENT_LENGTH</v>
      </c>
      <c r="L37" s="23">
        <f>IF(ROWS($L$5:L37)&gt;MAX('Packet Builder'!$O$5:$O$34),"",COUNTIF('Packet Builder'!$O$5:$O$34,"&lt;"&amp;ROWS($L$5:L37))+1)</f>
        <v>3</v>
      </c>
      <c r="M37" s="23">
        <f>IF($L37="","",INDEX('Packet Builder'!$F$5:$F$34,$L37))</f>
        <v>8</v>
      </c>
    </row>
    <row r="38" spans="1:13" x14ac:dyDescent="0.35">
      <c r="A38" s="21" t="str">
        <f>IF($L38="","",INDEX('Packet Builder'!$A$5:$A$34,$L38))</f>
        <v>0x03</v>
      </c>
      <c r="B38" s="21" t="str">
        <f>IF($L38="","",INDEX('Packet Builder'!$B$5:$B$34,$L38))</f>
        <v>Camera</v>
      </c>
      <c r="C38" s="22">
        <f>IF($L38="","",ROWS($L$5:L38)-(INDEX('Packet Builder'!$O$5:$O$34,$L38)-$M38-1))</f>
        <v>7</v>
      </c>
      <c r="D38" s="22">
        <f>IF($L38="","",IF($C38&gt;$M38,"EOF",IFERROR(VALUE(TRIM(MID(SUBSTITUTE(INDEX('Packet Builder'!$P$5:$P$34,$L38),",",REPT(" ",LEN(INDEX('Packet Builder'!$P$5:$P$34,$L38)))),($C38-1)*LEN(INDEX('Packet Builder'!$P$5:$P$34,$L38))+1,LEN(INDEX('Packet Builder'!$P$5:$P$34,$L38))))),"ERR")))</f>
        <v>40</v>
      </c>
      <c r="E38" s="21" t="str">
        <f>IF($L38="","",IF($C38&gt;$M38,"End of Frame Delimiter",IFERROR(INDEX(Fields!$B$5:$B$48,MATCH($D38,Fields!$A$5:$A$48,0)),"MISSING")))</f>
        <v>Channel 3 Current</v>
      </c>
      <c r="F38" s="22">
        <f>IF($L38="","",SUMIF($L$5:L38,L38,$G$5:G38)-G38)</f>
        <v>14</v>
      </c>
      <c r="G38" s="22">
        <f>IF($L38="","",IF($C38&gt;$M38,Overview!$B$26,IFERROR(INDEX(Fields!$F$5:$F$48,MATCH($D38,Fields!$A$5:$A$48,0)),0)))</f>
        <v>1</v>
      </c>
      <c r="H38" s="22">
        <f t="shared" si="0"/>
        <v>14</v>
      </c>
      <c r="I38" s="21" t="str">
        <f>IF($L38="","",IF($C38&gt;$M38,IF(Overview!$B$26=1,"uint8","uint8["&amp;Overview!$B$26&amp;"]"),IFERROR(INDEX(Fields!$E$5:$E$48,MATCH($D38,Fields!$A$5:$A$48,0)),"MISSING")))</f>
        <v>uint8</v>
      </c>
      <c r="J38" s="21" t="str">
        <f>IF($L38="","",IF($C38&gt;$M38,"Fixed end-of-frame delimiter, value "&amp;Overview!$B$25&amp;".",IFERROR(INDEX(Fields!$G$5:$G$48,MATCH($D38,Fields!$A$5:$A$48,0)),"MISSING")))</f>
        <v>0.1 A/count; current in amperes = raw x 0.1.</v>
      </c>
      <c r="K38" s="21" t="str">
        <f>IF($L38="","",IF($C38&gt;$M38,"n/a",IFERROR(INDEX(Fields!$H$5:$H$48,MATCH($D38,Fields!$A$5:$A$48,0)),"MISSING")))</f>
        <v>IRIS_FIELD_CH3_CURRENT_LENGTH</v>
      </c>
      <c r="L38" s="23">
        <f>IF(ROWS($L$5:L38)&gt;MAX('Packet Builder'!$O$5:$O$34),"",COUNTIF('Packet Builder'!$O$5:$O$34,"&lt;"&amp;ROWS($L$5:L38))+1)</f>
        <v>3</v>
      </c>
      <c r="M38" s="23">
        <f>IF($L38="","",INDEX('Packet Builder'!$F$5:$F$34,$L38))</f>
        <v>8</v>
      </c>
    </row>
    <row r="39" spans="1:13" x14ac:dyDescent="0.35">
      <c r="A39" s="21" t="str">
        <f>IF($L39="","",INDEX('Packet Builder'!$A$5:$A$34,$L39))</f>
        <v>0x03</v>
      </c>
      <c r="B39" s="21" t="str">
        <f>IF($L39="","",INDEX('Packet Builder'!$B$5:$B$34,$L39))</f>
        <v>Camera</v>
      </c>
      <c r="C39" s="22">
        <f>IF($L39="","",ROWS($L$5:L39)-(INDEX('Packet Builder'!$O$5:$O$34,$L39)-$M39-1))</f>
        <v>8</v>
      </c>
      <c r="D39" s="22">
        <f>IF($L39="","",IF($C39&gt;$M39,"EOF",IFERROR(VALUE(TRIM(MID(SUBSTITUTE(INDEX('Packet Builder'!$P$5:$P$34,$L39),",",REPT(" ",LEN(INDEX('Packet Builder'!$P$5:$P$34,$L39)))),($C39-1)*LEN(INDEX('Packet Builder'!$P$5:$P$34,$L39))+1,LEN(INDEX('Packet Builder'!$P$5:$P$34,$L39))))),"ERR")))</f>
        <v>7</v>
      </c>
      <c r="E39" s="21" t="str">
        <f>IF($L39="","",IF($C39&gt;$M39,"End of Frame Delimiter",IFERROR(INDEX(Fields!$B$5:$B$48,MATCH($D39,Fields!$A$5:$A$48,0)),"MISSING")))</f>
        <v>IRIS Battery Voltage</v>
      </c>
      <c r="F39" s="22">
        <f>IF($L39="","",SUMIF($L$5:L39,L39,$G$5:G39)-G39)</f>
        <v>15</v>
      </c>
      <c r="G39" s="22">
        <f>IF($L39="","",IF($C39&gt;$M39,Overview!$B$26,IFERROR(INDEX(Fields!$F$5:$F$48,MATCH($D39,Fields!$A$5:$A$48,0)),0)))</f>
        <v>2</v>
      </c>
      <c r="H39" s="22">
        <f t="shared" si="0"/>
        <v>16</v>
      </c>
      <c r="I39" s="21" t="str">
        <f>IF($L39="","",IF($C39&gt;$M39,IF(Overview!$B$26=1,"uint8","uint8["&amp;Overview!$B$26&amp;"]"),IFERROR(INDEX(Fields!$E$5:$E$48,MATCH($D39,Fields!$A$5:$A$48,0)),"MISSING")))</f>
        <v>uint16</v>
      </c>
      <c r="J39" s="21" t="str">
        <f>IF($L39="","",IF($C39&gt;$M39,"Fixed end-of-frame delimiter, value "&amp;Overview!$B$25&amp;".",IFERROR(INDEX(Fields!$G$5:$G$48,MATCH($D39,Fields!$A$5:$A$48,0)),"MISSING")))</f>
        <v>1 mV/count; battery voltage in millivolts.</v>
      </c>
      <c r="K39" s="21" t="str">
        <f>IF($L39="","",IF($C39&gt;$M39,"n/a",IFERROR(INDEX(Fields!$H$5:$H$48,MATCH($D39,Fields!$A$5:$A$48,0)),"MISSING")))</f>
        <v>IRIS_FIELD_IRIS_BATTERY_VOLTAGE_LENGTH</v>
      </c>
      <c r="L39" s="23">
        <f>IF(ROWS($L$5:L39)&gt;MAX('Packet Builder'!$O$5:$O$34),"",COUNTIF('Packet Builder'!$O$5:$O$34,"&lt;"&amp;ROWS($L$5:L39))+1)</f>
        <v>3</v>
      </c>
      <c r="M39" s="23">
        <f>IF($L39="","",INDEX('Packet Builder'!$F$5:$F$34,$L39))</f>
        <v>8</v>
      </c>
    </row>
    <row r="40" spans="1:13" x14ac:dyDescent="0.35">
      <c r="A40" s="21" t="str">
        <f>IF($L40="","",INDEX('Packet Builder'!$A$5:$A$34,$L40))</f>
        <v>0x03</v>
      </c>
      <c r="B40" s="21" t="str">
        <f>IF($L40="","",INDEX('Packet Builder'!$B$5:$B$34,$L40))</f>
        <v>Camera</v>
      </c>
      <c r="C40" s="22">
        <f>IF($L40="","",ROWS($L$5:L40)-(INDEX('Packet Builder'!$O$5:$O$34,$L40)-$M40-1))</f>
        <v>9</v>
      </c>
      <c r="D40" s="22" t="str">
        <f>IF($L40="","",IF($C40&gt;$M40,"EOF",IFERROR(VALUE(TRIM(MID(SUBSTITUTE(INDEX('Packet Builder'!$P$5:$P$34,$L40),",",REPT(" ",LEN(INDEX('Packet Builder'!$P$5:$P$34,$L40)))),($C40-1)*LEN(INDEX('Packet Builder'!$P$5:$P$34,$L40))+1,LEN(INDEX('Packet Builder'!$P$5:$P$34,$L40))))),"ERR")))</f>
        <v>EOF</v>
      </c>
      <c r="E40" s="21" t="str">
        <f>IF($L40="","",IF($C40&gt;$M40,"End of Frame Delimiter",IFERROR(INDEX(Fields!$B$5:$B$48,MATCH($D40,Fields!$A$5:$A$48,0)),"MISSING")))</f>
        <v>End of Frame Delimiter</v>
      </c>
      <c r="F40" s="22">
        <f>IF($L40="","",SUMIF($L$5:L40,L40,$G$5:G40)-G40)</f>
        <v>17</v>
      </c>
      <c r="G40" s="22">
        <f>IF($L40="","",IF($C40&gt;$M40,Overview!$B$26,IFERROR(INDEX(Fields!$F$5:$F$48,MATCH($D40,Fields!$A$5:$A$48,0)),0)))</f>
        <v>1</v>
      </c>
      <c r="H40" s="22">
        <f t="shared" si="0"/>
        <v>17</v>
      </c>
      <c r="I40" s="21" t="str">
        <f>IF($L40="","",IF($C40&gt;$M40,IF(Overview!$B$26=1,"uint8","uint8["&amp;Overview!$B$26&amp;"]"),IFERROR(INDEX(Fields!$E$5:$E$48,MATCH($D40,Fields!$A$5:$A$48,0)),"MISSING")))</f>
        <v>uint8</v>
      </c>
      <c r="J40" s="21" t="str">
        <f>IF($L40="","",IF($C40&gt;$M40,"Fixed end-of-frame delimiter, value "&amp;Overview!$B$25&amp;".",IFERROR(INDEX(Fields!$G$5:$G$48,MATCH($D40,Fields!$A$5:$A$48,0)),"MISSING")))</f>
        <v>Fixed end-of-frame delimiter, value 0x0A.</v>
      </c>
      <c r="K40" s="21" t="str">
        <f>IF($L40="","",IF($C40&gt;$M40,"n/a",IFERROR(INDEX(Fields!$H$5:$H$48,MATCH($D40,Fields!$A$5:$A$48,0)),"MISSING")))</f>
        <v>n/a</v>
      </c>
      <c r="L40" s="23">
        <f>IF(ROWS($L$5:L40)&gt;MAX('Packet Builder'!$O$5:$O$34),"",COUNTIF('Packet Builder'!$O$5:$O$34,"&lt;"&amp;ROWS($L$5:L40))+1)</f>
        <v>3</v>
      </c>
      <c r="M40" s="23">
        <f>IF($L40="","",INDEX('Packet Builder'!$F$5:$F$34,$L40))</f>
        <v>8</v>
      </c>
    </row>
    <row r="41" spans="1:13" x14ac:dyDescent="0.35">
      <c r="A41" s="21" t="str">
        <f>IF($L41="","",INDEX('Packet Builder'!$A$5:$A$34,$L41))</f>
        <v>0x05</v>
      </c>
      <c r="B41" s="21" t="str">
        <f>IF($L41="","",INDEX('Packet Builder'!$B$5:$B$34,$L41))</f>
        <v>Command</v>
      </c>
      <c r="C41" s="22">
        <f>IF($L41="","",ROWS($L$5:L41)-(INDEX('Packet Builder'!$O$5:$O$34,$L41)-$M41-1))</f>
        <v>1</v>
      </c>
      <c r="D41" s="22">
        <f>IF($L41="","",IF($C41&gt;$M41,"EOF",IFERROR(VALUE(TRIM(MID(SUBSTITUTE(INDEX('Packet Builder'!$P$5:$P$34,$L41),",",REPT(" ",LEN(INDEX('Packet Builder'!$P$5:$P$34,$L41)))),($C41-1)*LEN(INDEX('Packet Builder'!$P$5:$P$34,$L41))+1,LEN(INDEX('Packet Builder'!$P$5:$P$34,$L41))))),"ERR")))</f>
        <v>42</v>
      </c>
      <c r="E41" s="21" t="str">
        <f>IF($L41="","",IF($C41&gt;$M41,"End of Frame Delimiter",IFERROR(INDEX(Fields!$B$5:$B$48,MATCH($D41,Fields!$A$5:$A$48,0)),"MISSING")))</f>
        <v>Ground Station Status</v>
      </c>
      <c r="F41" s="22">
        <f>IF($L41="","",SUMIF($L$5:L41,L41,$G$5:G41)-G41)</f>
        <v>0</v>
      </c>
      <c r="G41" s="22">
        <f>IF($L41="","",IF($C41&gt;$M41,Overview!$B$26,IFERROR(INDEX(Fields!$F$5:$F$48,MATCH($D41,Fields!$A$5:$A$48,0)),0)))</f>
        <v>2</v>
      </c>
      <c r="H41" s="22">
        <f t="shared" si="0"/>
        <v>1</v>
      </c>
      <c r="I41" s="21" t="str">
        <f>IF($L41="","",IF($C41&gt;$M41,IF(Overview!$B$26=1,"uint8","uint8["&amp;Overview!$B$26&amp;"]"),IFERROR(INDEX(Fields!$E$5:$E$48,MATCH($D41,Fields!$A$5:$A$48,0)),"MISSING")))</f>
        <v>bitfield[16]</v>
      </c>
      <c r="J41" s="21" t="str">
        <f>IF($L41="","",IF($C41&gt;$M41,"Fixed end-of-frame delimiter, value "&amp;Overview!$B$25&amp;".",IFERROR(INDEX(Fields!$G$5:$G$48,MATCH($D41,Fields!$A$5:$A$48,0)),"MISSING")))</f>
        <v>Byte 0 contains status flags; byte 1 is reserved.</v>
      </c>
      <c r="K41" s="21" t="str">
        <f>IF($L41="","",IF($C41&gt;$M41,"n/a",IFERROR(INDEX(Fields!$H$5:$H$48,MATCH($D41,Fields!$A$5:$A$48,0)),"MISSING")))</f>
        <v>IRIS_PACKET_STATUS_LENGTH</v>
      </c>
      <c r="L41" s="23">
        <f>IF(ROWS($L$5:L41)&gt;MAX('Packet Builder'!$O$5:$O$34),"",COUNTIF('Packet Builder'!$O$5:$O$34,"&lt;"&amp;ROWS($L$5:L41))+1)</f>
        <v>4</v>
      </c>
      <c r="M41" s="23">
        <f>IF($L41="","",INDEX('Packet Builder'!$F$5:$F$34,$L41))</f>
        <v>3</v>
      </c>
    </row>
    <row r="42" spans="1:13" x14ac:dyDescent="0.35">
      <c r="A42" s="21" t="str">
        <f>IF($L42="","",INDEX('Packet Builder'!$A$5:$A$34,$L42))</f>
        <v>0x05</v>
      </c>
      <c r="B42" s="21" t="str">
        <f>IF($L42="","",INDEX('Packet Builder'!$B$5:$B$34,$L42))</f>
        <v>Command</v>
      </c>
      <c r="C42" s="22">
        <f>IF($L42="","",ROWS($L$5:L42)-(INDEX('Packet Builder'!$O$5:$O$34,$L42)-$M42-1))</f>
        <v>2</v>
      </c>
      <c r="D42" s="22">
        <f>IF($L42="","",IF($C42&gt;$M42,"EOF",IFERROR(VALUE(TRIM(MID(SUBSTITUTE(INDEX('Packet Builder'!$P$5:$P$34,$L42),",",REPT(" ",LEN(INDEX('Packet Builder'!$P$5:$P$34,$L42)))),($C42-1)*LEN(INDEX('Packet Builder'!$P$5:$P$34,$L42))+1,LEN(INDEX('Packet Builder'!$P$5:$P$34,$L42))))),"ERR")))</f>
        <v>43</v>
      </c>
      <c r="E42" s="21" t="str">
        <f>IF($L42="","",IF($C42&gt;$M42,"End of Frame Delimiter",IFERROR(INDEX(Fields!$B$5:$B$48,MATCH($D42,Fields!$A$5:$A$48,0)),"MISSING")))</f>
        <v>Ground Station Uptime</v>
      </c>
      <c r="F42" s="22">
        <f>IF($L42="","",SUMIF($L$5:L42,L42,$G$5:G42)-G42)</f>
        <v>2</v>
      </c>
      <c r="G42" s="22">
        <f>IF($L42="","",IF($C42&gt;$M42,Overview!$B$26,IFERROR(INDEX(Fields!$F$5:$F$48,MATCH($D42,Fields!$A$5:$A$48,0)),0)))</f>
        <v>4</v>
      </c>
      <c r="H42" s="22">
        <f t="shared" si="0"/>
        <v>5</v>
      </c>
      <c r="I42" s="21" t="str">
        <f>IF($L42="","",IF($C42&gt;$M42,IF(Overview!$B$26=1,"uint8","uint8["&amp;Overview!$B$26&amp;"]"),IFERROR(INDEX(Fields!$E$5:$E$48,MATCH($D42,Fields!$A$5:$A$48,0)),"MISSING")))</f>
        <v>uint32</v>
      </c>
      <c r="J42" s="21" t="str">
        <f>IF($L42="","",IF($C42&gt;$M42,"Fixed end-of-frame delimiter, value "&amp;Overview!$B$25&amp;".",IFERROR(INDEX(Fields!$G$5:$G$48,MATCH($D42,Fields!$A$5:$A$48,0)),"MISSING")))</f>
        <v>1 ms/count; elapsed time since ground-station boot.</v>
      </c>
      <c r="K42" s="21" t="str">
        <f>IF($L42="","",IF($C42&gt;$M42,"n/a",IFERROR(INDEX(Fields!$H$5:$H$48,MATCH($D42,Fields!$A$5:$A$48,0)),"MISSING")))</f>
        <v>IRIS_PACKET_UPTIME_LENGTH</v>
      </c>
      <c r="L42" s="23">
        <f>IF(ROWS($L$5:L42)&gt;MAX('Packet Builder'!$O$5:$O$34),"",COUNTIF('Packet Builder'!$O$5:$O$34,"&lt;"&amp;ROWS($L$5:L42))+1)</f>
        <v>4</v>
      </c>
      <c r="M42" s="23">
        <f>IF($L42="","",INDEX('Packet Builder'!$F$5:$F$34,$L42))</f>
        <v>3</v>
      </c>
    </row>
    <row r="43" spans="1:13" x14ac:dyDescent="0.35">
      <c r="A43" s="21" t="str">
        <f>IF($L43="","",INDEX('Packet Builder'!$A$5:$A$34,$L43))</f>
        <v>0x05</v>
      </c>
      <c r="B43" s="21" t="str">
        <f>IF($L43="","",INDEX('Packet Builder'!$B$5:$B$34,$L43))</f>
        <v>Command</v>
      </c>
      <c r="C43" s="22">
        <f>IF($L43="","",ROWS($L$5:L43)-(INDEX('Packet Builder'!$O$5:$O$34,$L43)-$M43-1))</f>
        <v>3</v>
      </c>
      <c r="D43" s="22">
        <f>IF($L43="","",IF($C43&gt;$M43,"EOF",IFERROR(VALUE(TRIM(MID(SUBSTITUTE(INDEX('Packet Builder'!$P$5:$P$34,$L43),",",REPT(" ",LEN(INDEX('Packet Builder'!$P$5:$P$34,$L43)))),($C43-1)*LEN(INDEX('Packet Builder'!$P$5:$P$34,$L43))+1,LEN(INDEX('Packet Builder'!$P$5:$P$34,$L43))))),"ERR")))</f>
        <v>41</v>
      </c>
      <c r="E43" s="21" t="str">
        <f>IF($L43="","",IF($C43&gt;$M43,"End of Frame Delimiter",IFERROR(INDEX(Fields!$B$5:$B$48,MATCH($D43,Fields!$A$5:$A$48,0)),"MISSING")))</f>
        <v>Command</v>
      </c>
      <c r="F43" s="22">
        <f>IF($L43="","",SUMIF($L$5:L43,L43,$G$5:G43)-G43)</f>
        <v>6</v>
      </c>
      <c r="G43" s="22">
        <f>IF($L43="","",IF($C43&gt;$M43,Overview!$B$26,IFERROR(INDEX(Fields!$F$5:$F$48,MATCH($D43,Fields!$A$5:$A$48,0)),0)))</f>
        <v>2</v>
      </c>
      <c r="H43" s="22">
        <f t="shared" si="0"/>
        <v>7</v>
      </c>
      <c r="I43" s="21" t="str">
        <f>IF($L43="","",IF($C43&gt;$M43,IF(Overview!$B$26=1,"uint8","uint8["&amp;Overview!$B$26&amp;"]"),IFERROR(INDEX(Fields!$E$5:$E$48,MATCH($D43,Fields!$A$5:$A$48,0)),"MISSING")))</f>
        <v>uint16 enum</v>
      </c>
      <c r="J43" s="21" t="str">
        <f>IF($L43="","",IF($C43&gt;$M43,"Fixed end-of-frame delimiter, value "&amp;Overview!$B$25&amp;".",IFERROR(INDEX(Fields!$G$5:$G$48,MATCH($D43,Fields!$A$5:$A$48,0)),"MISSING")))</f>
        <v>No numeric scale; command/opcode value.</v>
      </c>
      <c r="K43" s="21" t="str">
        <f>IF($L43="","",IF($C43&gt;$M43,"n/a",IFERROR(INDEX(Fields!$H$5:$H$48,MATCH($D43,Fields!$A$5:$A$48,0)),"MISSING")))</f>
        <v>IRIS_FIELD_COMMAND_LENGTH</v>
      </c>
      <c r="L43" s="23">
        <f>IF(ROWS($L$5:L43)&gt;MAX('Packet Builder'!$O$5:$O$34),"",COUNTIF('Packet Builder'!$O$5:$O$34,"&lt;"&amp;ROWS($L$5:L43))+1)</f>
        <v>4</v>
      </c>
      <c r="M43" s="23">
        <f>IF($L43="","",INDEX('Packet Builder'!$F$5:$F$34,$L43))</f>
        <v>3</v>
      </c>
    </row>
    <row r="44" spans="1:13" x14ac:dyDescent="0.35">
      <c r="A44" s="21" t="str">
        <f>IF($L44="","",INDEX('Packet Builder'!$A$5:$A$34,$L44))</f>
        <v>0x05</v>
      </c>
      <c r="B44" s="21" t="str">
        <f>IF($L44="","",INDEX('Packet Builder'!$B$5:$B$34,$L44))</f>
        <v>Command</v>
      </c>
      <c r="C44" s="22">
        <f>IF($L44="","",ROWS($L$5:L44)-(INDEX('Packet Builder'!$O$5:$O$34,$L44)-$M44-1))</f>
        <v>4</v>
      </c>
      <c r="D44" s="22" t="str">
        <f>IF($L44="","",IF($C44&gt;$M44,"EOF",IFERROR(VALUE(TRIM(MID(SUBSTITUTE(INDEX('Packet Builder'!$P$5:$P$34,$L44),",",REPT(" ",LEN(INDEX('Packet Builder'!$P$5:$P$34,$L44)))),($C44-1)*LEN(INDEX('Packet Builder'!$P$5:$P$34,$L44))+1,LEN(INDEX('Packet Builder'!$P$5:$P$34,$L44))))),"ERR")))</f>
        <v>EOF</v>
      </c>
      <c r="E44" s="21" t="str">
        <f>IF($L44="","",IF($C44&gt;$M44,"End of Frame Delimiter",IFERROR(INDEX(Fields!$B$5:$B$48,MATCH($D44,Fields!$A$5:$A$48,0)),"MISSING")))</f>
        <v>End of Frame Delimiter</v>
      </c>
      <c r="F44" s="22">
        <f>IF($L44="","",SUMIF($L$5:L44,L44,$G$5:G44)-G44)</f>
        <v>8</v>
      </c>
      <c r="G44" s="22">
        <f>IF($L44="","",IF($C44&gt;$M44,Overview!$B$26,IFERROR(INDEX(Fields!$F$5:$F$48,MATCH($D44,Fields!$A$5:$A$48,0)),0)))</f>
        <v>1</v>
      </c>
      <c r="H44" s="22">
        <f t="shared" si="0"/>
        <v>8</v>
      </c>
      <c r="I44" s="21" t="str">
        <f>IF($L44="","",IF($C44&gt;$M44,IF(Overview!$B$26=1,"uint8","uint8["&amp;Overview!$B$26&amp;"]"),IFERROR(INDEX(Fields!$E$5:$E$48,MATCH($D44,Fields!$A$5:$A$48,0)),"MISSING")))</f>
        <v>uint8</v>
      </c>
      <c r="J44" s="21" t="str">
        <f>IF($L44="","",IF($C44&gt;$M44,"Fixed end-of-frame delimiter, value "&amp;Overview!$B$25&amp;".",IFERROR(INDEX(Fields!$G$5:$G$48,MATCH($D44,Fields!$A$5:$A$48,0)),"MISSING")))</f>
        <v>Fixed end-of-frame delimiter, value 0x0A.</v>
      </c>
      <c r="K44" s="21" t="str">
        <f>IF($L44="","",IF($C44&gt;$M44,"n/a",IFERROR(INDEX(Fields!$H$5:$H$48,MATCH($D44,Fields!$A$5:$A$48,0)),"MISSING")))</f>
        <v>n/a</v>
      </c>
      <c r="L44" s="23">
        <f>IF(ROWS($L$5:L44)&gt;MAX('Packet Builder'!$O$5:$O$34),"",COUNTIF('Packet Builder'!$O$5:$O$34,"&lt;"&amp;ROWS($L$5:L44))+1)</f>
        <v>4</v>
      </c>
      <c r="M44" s="23">
        <f>IF($L44="","",INDEX('Packet Builder'!$F$5:$F$34,$L44))</f>
        <v>3</v>
      </c>
    </row>
    <row r="45" spans="1:13" x14ac:dyDescent="0.35">
      <c r="A45" s="21" t="str">
        <f>IF($L45="","",INDEX('Packet Builder'!$A$5:$A$34,$L45))</f>
        <v>0xFF</v>
      </c>
      <c r="B45" s="21" t="str">
        <f>IF($L45="","",INDEX('Packet Builder'!$B$5:$B$34,$L45))</f>
        <v>Heartbeat</v>
      </c>
      <c r="C45" s="22">
        <f>IF($L45="","",ROWS($L$5:L45)-(INDEX('Packet Builder'!$O$5:$O$34,$L45)-$M45-1))</f>
        <v>1</v>
      </c>
      <c r="D45" s="22">
        <f>IF($L45="","",IF($C45&gt;$M45,"EOF",IFERROR(VALUE(TRIM(MID(SUBSTITUTE(INDEX('Packet Builder'!$P$5:$P$34,$L45),",",REPT(" ",LEN(INDEX('Packet Builder'!$P$5:$P$34,$L45)))),($C45-1)*LEN(INDEX('Packet Builder'!$P$5:$P$34,$L45))+1,LEN(INDEX('Packet Builder'!$P$5:$P$34,$L45))))),"ERR")))</f>
        <v>42</v>
      </c>
      <c r="E45" s="21" t="str">
        <f>IF($L45="","",IF($C45&gt;$M45,"End of Frame Delimiter",IFERROR(INDEX(Fields!$B$5:$B$48,MATCH($D45,Fields!$A$5:$A$48,0)),"MISSING")))</f>
        <v>Ground Station Status</v>
      </c>
      <c r="F45" s="22">
        <f>IF($L45="","",SUMIF($L$5:L45,L45,$G$5:G45)-G45)</f>
        <v>0</v>
      </c>
      <c r="G45" s="22">
        <f>IF($L45="","",IF($C45&gt;$M45,Overview!$B$26,IFERROR(INDEX(Fields!$F$5:$F$48,MATCH($D45,Fields!$A$5:$A$48,0)),0)))</f>
        <v>2</v>
      </c>
      <c r="H45" s="22">
        <f t="shared" si="0"/>
        <v>1</v>
      </c>
      <c r="I45" s="21" t="str">
        <f>IF($L45="","",IF($C45&gt;$M45,IF(Overview!$B$26=1,"uint8","uint8["&amp;Overview!$B$26&amp;"]"),IFERROR(INDEX(Fields!$E$5:$E$48,MATCH($D45,Fields!$A$5:$A$48,0)),"MISSING")))</f>
        <v>bitfield[16]</v>
      </c>
      <c r="J45" s="21" t="str">
        <f>IF($L45="","",IF($C45&gt;$M45,"Fixed end-of-frame delimiter, value "&amp;Overview!$B$25&amp;".",IFERROR(INDEX(Fields!$G$5:$G$48,MATCH($D45,Fields!$A$5:$A$48,0)),"MISSING")))</f>
        <v>Byte 0 contains status flags; byte 1 is reserved.</v>
      </c>
      <c r="K45" s="21" t="str">
        <f>IF($L45="","",IF($C45&gt;$M45,"n/a",IFERROR(INDEX(Fields!$H$5:$H$48,MATCH($D45,Fields!$A$5:$A$48,0)),"MISSING")))</f>
        <v>IRIS_PACKET_STATUS_LENGTH</v>
      </c>
      <c r="L45" s="23">
        <f>IF(ROWS($L$5:L45)&gt;MAX('Packet Builder'!$O$5:$O$34),"",COUNTIF('Packet Builder'!$O$5:$O$34,"&lt;"&amp;ROWS($L$5:L45))+1)</f>
        <v>5</v>
      </c>
      <c r="M45" s="23">
        <f>IF($L45="","",INDEX('Packet Builder'!$F$5:$F$34,$L45))</f>
        <v>2</v>
      </c>
    </row>
    <row r="46" spans="1:13" x14ac:dyDescent="0.35">
      <c r="A46" s="21" t="str">
        <f>IF($L46="","",INDEX('Packet Builder'!$A$5:$A$34,$L46))</f>
        <v>0xFF</v>
      </c>
      <c r="B46" s="21" t="str">
        <f>IF($L46="","",INDEX('Packet Builder'!$B$5:$B$34,$L46))</f>
        <v>Heartbeat</v>
      </c>
      <c r="C46" s="22">
        <f>IF($L46="","",ROWS($L$5:L46)-(INDEX('Packet Builder'!$O$5:$O$34,$L46)-$M46-1))</f>
        <v>2</v>
      </c>
      <c r="D46" s="22">
        <f>IF($L46="","",IF($C46&gt;$M46,"EOF",IFERROR(VALUE(TRIM(MID(SUBSTITUTE(INDEX('Packet Builder'!$P$5:$P$34,$L46),",",REPT(" ",LEN(INDEX('Packet Builder'!$P$5:$P$34,$L46)))),($C46-1)*LEN(INDEX('Packet Builder'!$P$5:$P$34,$L46))+1,LEN(INDEX('Packet Builder'!$P$5:$P$34,$L46))))),"ERR")))</f>
        <v>43</v>
      </c>
      <c r="E46" s="21" t="str">
        <f>IF($L46="","",IF($C46&gt;$M46,"End of Frame Delimiter",IFERROR(INDEX(Fields!$B$5:$B$48,MATCH($D46,Fields!$A$5:$A$48,0)),"MISSING")))</f>
        <v>Ground Station Uptime</v>
      </c>
      <c r="F46" s="22">
        <f>IF($L46="","",SUMIF($L$5:L46,L46,$G$5:G46)-G46)</f>
        <v>2</v>
      </c>
      <c r="G46" s="22">
        <f>IF($L46="","",IF($C46&gt;$M46,Overview!$B$26,IFERROR(INDEX(Fields!$F$5:$F$48,MATCH($D46,Fields!$A$5:$A$48,0)),0)))</f>
        <v>4</v>
      </c>
      <c r="H46" s="22">
        <f t="shared" si="0"/>
        <v>5</v>
      </c>
      <c r="I46" s="21" t="str">
        <f>IF($L46="","",IF($C46&gt;$M46,IF(Overview!$B$26=1,"uint8","uint8["&amp;Overview!$B$26&amp;"]"),IFERROR(INDEX(Fields!$E$5:$E$48,MATCH($D46,Fields!$A$5:$A$48,0)),"MISSING")))</f>
        <v>uint32</v>
      </c>
      <c r="J46" s="21" t="str">
        <f>IF($L46="","",IF($C46&gt;$M46,"Fixed end-of-frame delimiter, value "&amp;Overview!$B$25&amp;".",IFERROR(INDEX(Fields!$G$5:$G$48,MATCH($D46,Fields!$A$5:$A$48,0)),"MISSING")))</f>
        <v>1 ms/count; elapsed time since ground-station boot.</v>
      </c>
      <c r="K46" s="21" t="str">
        <f>IF($L46="","",IF($C46&gt;$M46,"n/a",IFERROR(INDEX(Fields!$H$5:$H$48,MATCH($D46,Fields!$A$5:$A$48,0)),"MISSING")))</f>
        <v>IRIS_PACKET_UPTIME_LENGTH</v>
      </c>
      <c r="L46" s="23">
        <f>IF(ROWS($L$5:L46)&gt;MAX('Packet Builder'!$O$5:$O$34),"",COUNTIF('Packet Builder'!$O$5:$O$34,"&lt;"&amp;ROWS($L$5:L46))+1)</f>
        <v>5</v>
      </c>
      <c r="M46" s="23">
        <f>IF($L46="","",INDEX('Packet Builder'!$F$5:$F$34,$L46))</f>
        <v>2</v>
      </c>
    </row>
    <row r="47" spans="1:13" x14ac:dyDescent="0.35">
      <c r="A47" s="21" t="str">
        <f>IF($L47="","",INDEX('Packet Builder'!$A$5:$A$34,$L47))</f>
        <v>0xFF</v>
      </c>
      <c r="B47" s="21" t="str">
        <f>IF($L47="","",INDEX('Packet Builder'!$B$5:$B$34,$L47))</f>
        <v>Heartbeat</v>
      </c>
      <c r="C47" s="22">
        <f>IF($L47="","",ROWS($L$5:L47)-(INDEX('Packet Builder'!$O$5:$O$34,$L47)-$M47-1))</f>
        <v>3</v>
      </c>
      <c r="D47" s="22" t="str">
        <f>IF($L47="","",IF($C47&gt;$M47,"EOF",IFERROR(VALUE(TRIM(MID(SUBSTITUTE(INDEX('Packet Builder'!$P$5:$P$34,$L47),",",REPT(" ",LEN(INDEX('Packet Builder'!$P$5:$P$34,$L47)))),($C47-1)*LEN(INDEX('Packet Builder'!$P$5:$P$34,$L47))+1,LEN(INDEX('Packet Builder'!$P$5:$P$34,$L47))))),"ERR")))</f>
        <v>EOF</v>
      </c>
      <c r="E47" s="21" t="str">
        <f>IF($L47="","",IF($C47&gt;$M47,"End of Frame Delimiter",IFERROR(INDEX(Fields!$B$5:$B$48,MATCH($D47,Fields!$A$5:$A$48,0)),"MISSING")))</f>
        <v>End of Frame Delimiter</v>
      </c>
      <c r="F47" s="22">
        <f>IF($L47="","",SUMIF($L$5:L47,L47,$G$5:G47)-G47)</f>
        <v>6</v>
      </c>
      <c r="G47" s="22">
        <f>IF($L47="","",IF($C47&gt;$M47,Overview!$B$26,IFERROR(INDEX(Fields!$F$5:$F$48,MATCH($D47,Fields!$A$5:$A$48,0)),0)))</f>
        <v>1</v>
      </c>
      <c r="H47" s="22">
        <f t="shared" si="0"/>
        <v>6</v>
      </c>
      <c r="I47" s="21" t="str">
        <f>IF($L47="","",IF($C47&gt;$M47,IF(Overview!$B$26=1,"uint8","uint8["&amp;Overview!$B$26&amp;"]"),IFERROR(INDEX(Fields!$E$5:$E$48,MATCH($D47,Fields!$A$5:$A$48,0)),"MISSING")))</f>
        <v>uint8</v>
      </c>
      <c r="J47" s="21" t="str">
        <f>IF($L47="","",IF($C47&gt;$M47,"Fixed end-of-frame delimiter, value "&amp;Overview!$B$25&amp;".",IFERROR(INDEX(Fields!$G$5:$G$48,MATCH($D47,Fields!$A$5:$A$48,0)),"MISSING")))</f>
        <v>Fixed end-of-frame delimiter, value 0x0A.</v>
      </c>
      <c r="K47" s="21" t="str">
        <f>IF($L47="","",IF($C47&gt;$M47,"n/a",IFERROR(INDEX(Fields!$H$5:$H$48,MATCH($D47,Fields!$A$5:$A$48,0)),"MISSING")))</f>
        <v>n/a</v>
      </c>
      <c r="L47" s="23">
        <f>IF(ROWS($L$5:L47)&gt;MAX('Packet Builder'!$O$5:$O$34),"",COUNTIF('Packet Builder'!$O$5:$O$34,"&lt;"&amp;ROWS($L$5:L47))+1)</f>
        <v>5</v>
      </c>
      <c r="M47" s="23">
        <f>IF($L47="","",INDEX('Packet Builder'!$F$5:$F$34,$L47))</f>
        <v>2</v>
      </c>
    </row>
    <row r="48" spans="1:13" x14ac:dyDescent="0.35">
      <c r="A48" s="21" t="str">
        <f>IF($L48="","",INDEX('Packet Builder'!$A$5:$A$34,$L48))</f>
        <v>0xE0</v>
      </c>
      <c r="B48" s="21" t="str">
        <f>IF($L48="","",INDEX('Packet Builder'!$B$5:$B$34,$L48))</f>
        <v>Witness Debug</v>
      </c>
      <c r="C48" s="22">
        <f>IF($L48="","",ROWS($L$5:L48)-(INDEX('Packet Builder'!$O$5:$O$34,$L48)-$M48-1))</f>
        <v>1</v>
      </c>
      <c r="D48" s="22">
        <f>IF($L48="","",IF($C48&gt;$M48,"EOF",IFERROR(VALUE(TRIM(MID(SUBSTITUTE(INDEX('Packet Builder'!$P$5:$P$34,$L48),",",REPT(" ",LEN(INDEX('Packet Builder'!$P$5:$P$34,$L48)))),($C48-1)*LEN(INDEX('Packet Builder'!$P$5:$P$34,$L48))+1,LEN(INDEX('Packet Builder'!$P$5:$P$34,$L48))))),"ERR")))</f>
        <v>0</v>
      </c>
      <c r="E48" s="21" t="str">
        <f>IF($L48="","",IF($C48&gt;$M48,"End of Frame Delimiter",IFERROR(INDEX(Fields!$B$5:$B$48,MATCH($D48,Fields!$A$5:$A$48,0)),"MISSING")))</f>
        <v>Witness Status</v>
      </c>
      <c r="F48" s="22">
        <f>IF($L48="","",SUMIF($L$5:L48,L48,$G$5:G48)-G48)</f>
        <v>0</v>
      </c>
      <c r="G48" s="22">
        <f>IF($L48="","",IF($C48&gt;$M48,Overview!$B$26,IFERROR(INDEX(Fields!$F$5:$F$48,MATCH($D48,Fields!$A$5:$A$48,0)),0)))</f>
        <v>2</v>
      </c>
      <c r="H48" s="22">
        <f t="shared" si="0"/>
        <v>1</v>
      </c>
      <c r="I48" s="21" t="str">
        <f>IF($L48="","",IF($C48&gt;$M48,IF(Overview!$B$26=1,"uint8","uint8["&amp;Overview!$B$26&amp;"]"),IFERROR(INDEX(Fields!$E$5:$E$48,MATCH($D48,Fields!$A$5:$A$48,0)),"MISSING")))</f>
        <v>bitfield[16]</v>
      </c>
      <c r="J48" s="21" t="str">
        <f>IF($L48="","",IF($C48&gt;$M48,"Fixed end-of-frame delimiter, value "&amp;Overview!$B$25&amp;".",IFERROR(INDEX(Fields!$G$5:$G$48,MATCH($D48,Fields!$A$5:$A$48,0)),"MISSING")))</f>
        <v>Byte 0 contains status flags; byte 1 is reserved. No numeric scale.</v>
      </c>
      <c r="K48" s="21" t="str">
        <f>IF($L48="","",IF($C48&gt;$M48,"n/a",IFERROR(INDEX(Fields!$H$5:$H$48,MATCH($D48,Fields!$A$5:$A$48,0)),"MISSING")))</f>
        <v>IRIS_FIELD_WITNESS_STATUS_LENGTH</v>
      </c>
      <c r="L48" s="23">
        <f>IF(ROWS($L$5:L48)&gt;MAX('Packet Builder'!$O$5:$O$34),"",COUNTIF('Packet Builder'!$O$5:$O$34,"&lt;"&amp;ROWS($L$5:L48))+1)</f>
        <v>6</v>
      </c>
      <c r="M48" s="23">
        <f>IF($L48="","",INDEX('Packet Builder'!$F$5:$F$34,$L48))</f>
        <v>34</v>
      </c>
    </row>
    <row r="49" spans="1:13" x14ac:dyDescent="0.35">
      <c r="A49" s="21" t="str">
        <f>IF($L49="","",INDEX('Packet Builder'!$A$5:$A$34,$L49))</f>
        <v>0xE0</v>
      </c>
      <c r="B49" s="21" t="str">
        <f>IF($L49="","",INDEX('Packet Builder'!$B$5:$B$34,$L49))</f>
        <v>Witness Debug</v>
      </c>
      <c r="C49" s="22">
        <f>IF($L49="","",ROWS($L$5:L49)-(INDEX('Packet Builder'!$O$5:$O$34,$L49)-$M49-1))</f>
        <v>2</v>
      </c>
      <c r="D49" s="22">
        <f>IF($L49="","",IF($C49&gt;$M49,"EOF",IFERROR(VALUE(TRIM(MID(SUBSTITUTE(INDEX('Packet Builder'!$P$5:$P$34,$L49),",",REPT(" ",LEN(INDEX('Packet Builder'!$P$5:$P$34,$L49)))),($C49-1)*LEN(INDEX('Packet Builder'!$P$5:$P$34,$L49))+1,LEN(INDEX('Packet Builder'!$P$5:$P$34,$L49))))),"ERR")))</f>
        <v>1</v>
      </c>
      <c r="E49" s="21" t="str">
        <f>IF($L49="","",IF($C49&gt;$M49,"End of Frame Delimiter",IFERROR(INDEX(Fields!$B$5:$B$48,MATCH($D49,Fields!$A$5:$A$48,0)),"MISSING")))</f>
        <v>Witness Uptime</v>
      </c>
      <c r="F49" s="22">
        <f>IF($L49="","",SUMIF($L$5:L49,L49,$G$5:G49)-G49)</f>
        <v>2</v>
      </c>
      <c r="G49" s="22">
        <f>IF($L49="","",IF($C49&gt;$M49,Overview!$B$26,IFERROR(INDEX(Fields!$F$5:$F$48,MATCH($D49,Fields!$A$5:$A$48,0)),0)))</f>
        <v>4</v>
      </c>
      <c r="H49" s="22">
        <f t="shared" si="0"/>
        <v>5</v>
      </c>
      <c r="I49" s="21" t="str">
        <f>IF($L49="","",IF($C49&gt;$M49,IF(Overview!$B$26=1,"uint8","uint8["&amp;Overview!$B$26&amp;"]"),IFERROR(INDEX(Fields!$E$5:$E$48,MATCH($D49,Fields!$A$5:$A$48,0)),"MISSING")))</f>
        <v>uint32</v>
      </c>
      <c r="J49" s="21" t="str">
        <f>IF($L49="","",IF($C49&gt;$M49,"Fixed end-of-frame delimiter, value "&amp;Overview!$B$25&amp;".",IFERROR(INDEX(Fields!$G$5:$G$48,MATCH($D49,Fields!$A$5:$A$48,0)),"MISSING")))</f>
        <v>1 ms/count; elapsed time since boot.</v>
      </c>
      <c r="K49" s="21" t="str">
        <f>IF($L49="","",IF($C49&gt;$M49,"n/a",IFERROR(INDEX(Fields!$H$5:$H$48,MATCH($D49,Fields!$A$5:$A$48,0)),"MISSING")))</f>
        <v>IRIS_FIELD_WITNESS_UPTIME_LENGTH</v>
      </c>
      <c r="L49" s="23">
        <f>IF(ROWS($L$5:L49)&gt;MAX('Packet Builder'!$O$5:$O$34),"",COUNTIF('Packet Builder'!$O$5:$O$34,"&lt;"&amp;ROWS($L$5:L49))+1)</f>
        <v>6</v>
      </c>
      <c r="M49" s="23">
        <f>IF($L49="","",INDEX('Packet Builder'!$F$5:$F$34,$L49))</f>
        <v>34</v>
      </c>
    </row>
    <row r="50" spans="1:13" x14ac:dyDescent="0.35">
      <c r="A50" s="21" t="str">
        <f>IF($L50="","",INDEX('Packet Builder'!$A$5:$A$34,$L50))</f>
        <v>0xE0</v>
      </c>
      <c r="B50" s="21" t="str">
        <f>IF($L50="","",INDEX('Packet Builder'!$B$5:$B$34,$L50))</f>
        <v>Witness Debug</v>
      </c>
      <c r="C50" s="22">
        <f>IF($L50="","",ROWS($L$5:L50)-(INDEX('Packet Builder'!$O$5:$O$34,$L50)-$M50-1))</f>
        <v>3</v>
      </c>
      <c r="D50" s="22">
        <f>IF($L50="","",IF($C50&gt;$M50,"EOF",IFERROR(VALUE(TRIM(MID(SUBSTITUTE(INDEX('Packet Builder'!$P$5:$P$34,$L50),",",REPT(" ",LEN(INDEX('Packet Builder'!$P$5:$P$34,$L50)))),($C50-1)*LEN(INDEX('Packet Builder'!$P$5:$P$34,$L50))+1,LEN(INDEX('Packet Builder'!$P$5:$P$34,$L50))))),"ERR")))</f>
        <v>2</v>
      </c>
      <c r="E50" s="21" t="str">
        <f>IF($L50="","",IF($C50&gt;$M50,"End of Frame Delimiter",IFERROR(INDEX(Fields!$B$5:$B$48,MATCH($D50,Fields!$A$5:$A$48,0)),"MISSING")))</f>
        <v>Witness MCU Temperature</v>
      </c>
      <c r="F50" s="22">
        <f>IF($L50="","",SUMIF($L$5:L50,L50,$G$5:G50)-G50)</f>
        <v>6</v>
      </c>
      <c r="G50" s="22">
        <f>IF($L50="","",IF($C50&gt;$M50,Overview!$B$26,IFERROR(INDEX(Fields!$F$5:$F$48,MATCH($D50,Fields!$A$5:$A$48,0)),0)))</f>
        <v>1</v>
      </c>
      <c r="H50" s="22">
        <f t="shared" si="0"/>
        <v>6</v>
      </c>
      <c r="I50" s="21" t="str">
        <f>IF($L50="","",IF($C50&gt;$M50,IF(Overview!$B$26=1,"uint8","uint8["&amp;Overview!$B$26&amp;"]"),IFERROR(INDEX(Fields!$E$5:$E$48,MATCH($D50,Fields!$A$5:$A$48,0)),"MISSING")))</f>
        <v>int8</v>
      </c>
      <c r="J50" s="21" t="str">
        <f>IF($L50="","",IF($C50&gt;$M50,"Fixed end-of-frame delimiter, value "&amp;Overview!$B$25&amp;".",IFERROR(INDEX(Fields!$G$5:$G$48,MATCH($D50,Fields!$A$5:$A$48,0)),"MISSING")))</f>
        <v>1 deg C/count; signed MCU die temperature.</v>
      </c>
      <c r="K50" s="21" t="str">
        <f>IF($L50="","",IF($C50&gt;$M50,"n/a",IFERROR(INDEX(Fields!$H$5:$H$48,MATCH($D50,Fields!$A$5:$A$48,0)),"MISSING")))</f>
        <v>IRIS_FIELD_WITNESS_MCU_TEMPERATURE_LENGTH</v>
      </c>
      <c r="L50" s="23">
        <f>IF(ROWS($L$5:L50)&gt;MAX('Packet Builder'!$O$5:$O$34),"",COUNTIF('Packet Builder'!$O$5:$O$34,"&lt;"&amp;ROWS($L$5:L50))+1)</f>
        <v>6</v>
      </c>
      <c r="M50" s="23">
        <f>IF($L50="","",INDEX('Packet Builder'!$F$5:$F$34,$L50))</f>
        <v>34</v>
      </c>
    </row>
    <row r="51" spans="1:13" x14ac:dyDescent="0.35">
      <c r="A51" s="21" t="str">
        <f>IF($L51="","",INDEX('Packet Builder'!$A$5:$A$34,$L51))</f>
        <v>0xE0</v>
      </c>
      <c r="B51" s="21" t="str">
        <f>IF($L51="","",INDEX('Packet Builder'!$B$5:$B$34,$L51))</f>
        <v>Witness Debug</v>
      </c>
      <c r="C51" s="22">
        <f>IF($L51="","",ROWS($L$5:L51)-(INDEX('Packet Builder'!$O$5:$O$34,$L51)-$M51-1))</f>
        <v>4</v>
      </c>
      <c r="D51" s="22">
        <f>IF($L51="","",IF($C51&gt;$M51,"EOF",IFERROR(VALUE(TRIM(MID(SUBSTITUTE(INDEX('Packet Builder'!$P$5:$P$34,$L51),",",REPT(" ",LEN(INDEX('Packet Builder'!$P$5:$P$34,$L51)))),($C51-1)*LEN(INDEX('Packet Builder'!$P$5:$P$34,$L51))+1,LEN(INDEX('Packet Builder'!$P$5:$P$34,$L51))))),"ERR")))</f>
        <v>3</v>
      </c>
      <c r="E51" s="21" t="str">
        <f>IF($L51="","",IF($C51&gt;$M51,"End of Frame Delimiter",IFERROR(INDEX(Fields!$B$5:$B$48,MATCH($D51,Fields!$A$5:$A$48,0)),"MISSING")))</f>
        <v>Witness Battery Voltage</v>
      </c>
      <c r="F51" s="22">
        <f>IF($L51="","",SUMIF($L$5:L51,L51,$G$5:G51)-G51)</f>
        <v>7</v>
      </c>
      <c r="G51" s="22">
        <f>IF($L51="","",IF($C51&gt;$M51,Overview!$B$26,IFERROR(INDEX(Fields!$F$5:$F$48,MATCH($D51,Fields!$A$5:$A$48,0)),0)))</f>
        <v>2</v>
      </c>
      <c r="H51" s="22">
        <f t="shared" si="0"/>
        <v>8</v>
      </c>
      <c r="I51" s="21" t="str">
        <f>IF($L51="","",IF($C51&gt;$M51,IF(Overview!$B$26=1,"uint8","uint8["&amp;Overview!$B$26&amp;"]"),IFERROR(INDEX(Fields!$E$5:$E$48,MATCH($D51,Fields!$A$5:$A$48,0)),"MISSING")))</f>
        <v>uint16</v>
      </c>
      <c r="J51" s="21" t="str">
        <f>IF($L51="","",IF($C51&gt;$M51,"Fixed end-of-frame delimiter, value "&amp;Overview!$B$25&amp;".",IFERROR(INDEX(Fields!$G$5:$G$48,MATCH($D51,Fields!$A$5:$A$48,0)),"MISSING")))</f>
        <v>1 mV/count; battery voltage in millivolts.</v>
      </c>
      <c r="K51" s="21" t="str">
        <f>IF($L51="","",IF($C51&gt;$M51,"n/a",IFERROR(INDEX(Fields!$H$5:$H$48,MATCH($D51,Fields!$A$5:$A$48,0)),"MISSING")))</f>
        <v>IRIS_FIELD_WITNESS_BATTERY_VOLTAGE_LENGTH</v>
      </c>
      <c r="L51" s="23">
        <f>IF(ROWS($L$5:L51)&gt;MAX('Packet Builder'!$O$5:$O$34),"",COUNTIF('Packet Builder'!$O$5:$O$34,"&lt;"&amp;ROWS($L$5:L51))+1)</f>
        <v>6</v>
      </c>
      <c r="M51" s="23">
        <f>IF($L51="","",INDEX('Packet Builder'!$F$5:$F$34,$L51))</f>
        <v>34</v>
      </c>
    </row>
    <row r="52" spans="1:13" ht="25" x14ac:dyDescent="0.35">
      <c r="A52" s="21" t="str">
        <f>IF($L52="","",INDEX('Packet Builder'!$A$5:$A$34,$L52))</f>
        <v>0xE0</v>
      </c>
      <c r="B52" s="21" t="str">
        <f>IF($L52="","",INDEX('Packet Builder'!$B$5:$B$34,$L52))</f>
        <v>Witness Debug</v>
      </c>
      <c r="C52" s="22">
        <f>IF($L52="","",ROWS($L$5:L52)-(INDEX('Packet Builder'!$O$5:$O$34,$L52)-$M52-1))</f>
        <v>5</v>
      </c>
      <c r="D52" s="22">
        <f>IF($L52="","",IF($C52&gt;$M52,"EOF",IFERROR(VALUE(TRIM(MID(SUBSTITUTE(INDEX('Packet Builder'!$P$5:$P$34,$L52),",",REPT(" ",LEN(INDEX('Packet Builder'!$P$5:$P$34,$L52)))),($C52-1)*LEN(INDEX('Packet Builder'!$P$5:$P$34,$L52))+1,LEN(INDEX('Packet Builder'!$P$5:$P$34,$L52))))),"ERR")))</f>
        <v>8</v>
      </c>
      <c r="E52" s="21" t="str">
        <f>IF($L52="","",IF($C52&gt;$M52,"End of Frame Delimiter",IFERROR(INDEX(Fields!$B$5:$B$48,MATCH($D52,Fields!$A$5:$A$48,0)),"MISSING")))</f>
        <v>Filtered Accel X</v>
      </c>
      <c r="F52" s="22">
        <f>IF($L52="","",SUMIF($L$5:L52,L52,$G$5:G52)-G52)</f>
        <v>9</v>
      </c>
      <c r="G52" s="22">
        <f>IF($L52="","",IF($C52&gt;$M52,Overview!$B$26,IFERROR(INDEX(Fields!$F$5:$F$48,MATCH($D52,Fields!$A$5:$A$48,0)),0)))</f>
        <v>3</v>
      </c>
      <c r="H52" s="22">
        <f t="shared" si="0"/>
        <v>11</v>
      </c>
      <c r="I52" s="21" t="str">
        <f>IF($L52="","",IF($C52&gt;$M52,IF(Overview!$B$26=1,"uint8","uint8["&amp;Overview!$B$26&amp;"]"),IFERROR(INDEX(Fields!$E$5:$E$48,MATCH($D52,Fields!$A$5:$A$48,0)),"MISSING")))</f>
        <v>signed int24</v>
      </c>
      <c r="J52" s="21" t="str">
        <f>IF($L52="","",IF($C52&gt;$M52,"Fixed end-of-frame delimiter, value "&amp;Overview!$B$25&amp;".",IFERROR(INDEX(Fields!$G$5:$G$48,MATCH($D52,Fields!$A$5:$A$48,0)),"MISSING")))</f>
        <v>40 micro-g/count; acceleration in g = raw x 0.000040; range approximately -335.54 to +335.54 g.</v>
      </c>
      <c r="K52" s="21" t="str">
        <f>IF($L52="","",IF($C52&gt;$M52,"n/a",IFERROR(INDEX(Fields!$H$5:$H$48,MATCH($D52,Fields!$A$5:$A$48,0)),"MISSING")))</f>
        <v>IRIS_FIELD_FILTERED_ACCEL_X_LENGTH</v>
      </c>
      <c r="L52" s="23">
        <f>IF(ROWS($L$5:L52)&gt;MAX('Packet Builder'!$O$5:$O$34),"",COUNTIF('Packet Builder'!$O$5:$O$34,"&lt;"&amp;ROWS($L$5:L52))+1)</f>
        <v>6</v>
      </c>
      <c r="M52" s="23">
        <f>IF($L52="","",INDEX('Packet Builder'!$F$5:$F$34,$L52))</f>
        <v>34</v>
      </c>
    </row>
    <row r="53" spans="1:13" ht="25" x14ac:dyDescent="0.35">
      <c r="A53" s="21" t="str">
        <f>IF($L53="","",INDEX('Packet Builder'!$A$5:$A$34,$L53))</f>
        <v>0xE0</v>
      </c>
      <c r="B53" s="21" t="str">
        <f>IF($L53="","",INDEX('Packet Builder'!$B$5:$B$34,$L53))</f>
        <v>Witness Debug</v>
      </c>
      <c r="C53" s="22">
        <f>IF($L53="","",ROWS($L$5:L53)-(INDEX('Packet Builder'!$O$5:$O$34,$L53)-$M53-1))</f>
        <v>6</v>
      </c>
      <c r="D53" s="22">
        <f>IF($L53="","",IF($C53&gt;$M53,"EOF",IFERROR(VALUE(TRIM(MID(SUBSTITUTE(INDEX('Packet Builder'!$P$5:$P$34,$L53),",",REPT(" ",LEN(INDEX('Packet Builder'!$P$5:$P$34,$L53)))),($C53-1)*LEN(INDEX('Packet Builder'!$P$5:$P$34,$L53))+1,LEN(INDEX('Packet Builder'!$P$5:$P$34,$L53))))),"ERR")))</f>
        <v>9</v>
      </c>
      <c r="E53" s="21" t="str">
        <f>IF($L53="","",IF($C53&gt;$M53,"End of Frame Delimiter",IFERROR(INDEX(Fields!$B$5:$B$48,MATCH($D53,Fields!$A$5:$A$48,0)),"MISSING")))</f>
        <v>Filtered Accel Y</v>
      </c>
      <c r="F53" s="22">
        <f>IF($L53="","",SUMIF($L$5:L53,L53,$G$5:G53)-G53)</f>
        <v>12</v>
      </c>
      <c r="G53" s="22">
        <f>IF($L53="","",IF($C53&gt;$M53,Overview!$B$26,IFERROR(INDEX(Fields!$F$5:$F$48,MATCH($D53,Fields!$A$5:$A$48,0)),0)))</f>
        <v>3</v>
      </c>
      <c r="H53" s="22">
        <f t="shared" si="0"/>
        <v>14</v>
      </c>
      <c r="I53" s="21" t="str">
        <f>IF($L53="","",IF($C53&gt;$M53,IF(Overview!$B$26=1,"uint8","uint8["&amp;Overview!$B$26&amp;"]"),IFERROR(INDEX(Fields!$E$5:$E$48,MATCH($D53,Fields!$A$5:$A$48,0)),"MISSING")))</f>
        <v>signed int24</v>
      </c>
      <c r="J53" s="21" t="str">
        <f>IF($L53="","",IF($C53&gt;$M53,"Fixed end-of-frame delimiter, value "&amp;Overview!$B$25&amp;".",IFERROR(INDEX(Fields!$G$5:$G$48,MATCH($D53,Fields!$A$5:$A$48,0)),"MISSING")))</f>
        <v>40 micro-g/count; acceleration in g = raw x 0.000040; range approximately -335.54 to +335.54 g.</v>
      </c>
      <c r="K53" s="21" t="str">
        <f>IF($L53="","",IF($C53&gt;$M53,"n/a",IFERROR(INDEX(Fields!$H$5:$H$48,MATCH($D53,Fields!$A$5:$A$48,0)),"MISSING")))</f>
        <v>IRIS_FIELD_FILTERED_ACCEL_Y_LENGTH</v>
      </c>
      <c r="L53" s="23">
        <f>IF(ROWS($L$5:L53)&gt;MAX('Packet Builder'!$O$5:$O$34),"",COUNTIF('Packet Builder'!$O$5:$O$34,"&lt;"&amp;ROWS($L$5:L53))+1)</f>
        <v>6</v>
      </c>
      <c r="M53" s="23">
        <f>IF($L53="","",INDEX('Packet Builder'!$F$5:$F$34,$L53))</f>
        <v>34</v>
      </c>
    </row>
    <row r="54" spans="1:13" ht="25" x14ac:dyDescent="0.35">
      <c r="A54" s="21" t="str">
        <f>IF($L54="","",INDEX('Packet Builder'!$A$5:$A$34,$L54))</f>
        <v>0xE0</v>
      </c>
      <c r="B54" s="21" t="str">
        <f>IF($L54="","",INDEX('Packet Builder'!$B$5:$B$34,$L54))</f>
        <v>Witness Debug</v>
      </c>
      <c r="C54" s="22">
        <f>IF($L54="","",ROWS($L$5:L54)-(INDEX('Packet Builder'!$O$5:$O$34,$L54)-$M54-1))</f>
        <v>7</v>
      </c>
      <c r="D54" s="22">
        <f>IF($L54="","",IF($C54&gt;$M54,"EOF",IFERROR(VALUE(TRIM(MID(SUBSTITUTE(INDEX('Packet Builder'!$P$5:$P$34,$L54),",",REPT(" ",LEN(INDEX('Packet Builder'!$P$5:$P$34,$L54)))),($C54-1)*LEN(INDEX('Packet Builder'!$P$5:$P$34,$L54))+1,LEN(INDEX('Packet Builder'!$P$5:$P$34,$L54))))),"ERR")))</f>
        <v>10</v>
      </c>
      <c r="E54" s="21" t="str">
        <f>IF($L54="","",IF($C54&gt;$M54,"End of Frame Delimiter",IFERROR(INDEX(Fields!$B$5:$B$48,MATCH($D54,Fields!$A$5:$A$48,0)),"MISSING")))</f>
        <v>Filtered Accel Z</v>
      </c>
      <c r="F54" s="22">
        <f>IF($L54="","",SUMIF($L$5:L54,L54,$G$5:G54)-G54)</f>
        <v>15</v>
      </c>
      <c r="G54" s="22">
        <f>IF($L54="","",IF($C54&gt;$M54,Overview!$B$26,IFERROR(INDEX(Fields!$F$5:$F$48,MATCH($D54,Fields!$A$5:$A$48,0)),0)))</f>
        <v>3</v>
      </c>
      <c r="H54" s="22">
        <f t="shared" si="0"/>
        <v>17</v>
      </c>
      <c r="I54" s="21" t="str">
        <f>IF($L54="","",IF($C54&gt;$M54,IF(Overview!$B$26=1,"uint8","uint8["&amp;Overview!$B$26&amp;"]"),IFERROR(INDEX(Fields!$E$5:$E$48,MATCH($D54,Fields!$A$5:$A$48,0)),"MISSING")))</f>
        <v>signed int24</v>
      </c>
      <c r="J54" s="21" t="str">
        <f>IF($L54="","",IF($C54&gt;$M54,"Fixed end-of-frame delimiter, value "&amp;Overview!$B$25&amp;".",IFERROR(INDEX(Fields!$G$5:$G$48,MATCH($D54,Fields!$A$5:$A$48,0)),"MISSING")))</f>
        <v>40 micro-g/count; acceleration in g = raw x 0.000040; range approximately -335.54 to +335.54 g.</v>
      </c>
      <c r="K54" s="21" t="str">
        <f>IF($L54="","",IF($C54&gt;$M54,"n/a",IFERROR(INDEX(Fields!$H$5:$H$48,MATCH($D54,Fields!$A$5:$A$48,0)),"MISSING")))</f>
        <v>IRIS_FIELD_FILTERED_ACCEL_Z_LENGTH</v>
      </c>
      <c r="L54" s="23">
        <f>IF(ROWS($L$5:L54)&gt;MAX('Packet Builder'!$O$5:$O$34),"",COUNTIF('Packet Builder'!$O$5:$O$34,"&lt;"&amp;ROWS($L$5:L54))+1)</f>
        <v>6</v>
      </c>
      <c r="M54" s="23">
        <f>IF($L54="","",INDEX('Packet Builder'!$F$5:$F$34,$L54))</f>
        <v>34</v>
      </c>
    </row>
    <row r="55" spans="1:13" x14ac:dyDescent="0.35">
      <c r="A55" s="21" t="str">
        <f>IF($L55="","",INDEX('Packet Builder'!$A$5:$A$34,$L55))</f>
        <v>0xE0</v>
      </c>
      <c r="B55" s="21" t="str">
        <f>IF($L55="","",INDEX('Packet Builder'!$B$5:$B$34,$L55))</f>
        <v>Witness Debug</v>
      </c>
      <c r="C55" s="22">
        <f>IF($L55="","",ROWS($L$5:L55)-(INDEX('Packet Builder'!$O$5:$O$34,$L55)-$M55-1))</f>
        <v>8</v>
      </c>
      <c r="D55" s="22">
        <f>IF($L55="","",IF($C55&gt;$M55,"EOF",IFERROR(VALUE(TRIM(MID(SUBSTITUTE(INDEX('Packet Builder'!$P$5:$P$34,$L55),",",REPT(" ",LEN(INDEX('Packet Builder'!$P$5:$P$34,$L55)))),($C55-1)*LEN(INDEX('Packet Builder'!$P$5:$P$34,$L55))+1,LEN(INDEX('Packet Builder'!$P$5:$P$34,$L55))))),"ERR")))</f>
        <v>11</v>
      </c>
      <c r="E55" s="21" t="str">
        <f>IF($L55="","",IF($C55&gt;$M55,"End of Frame Delimiter",IFERROR(INDEX(Fields!$B$5:$B$48,MATCH($D55,Fields!$A$5:$A$48,0)),"MISSING")))</f>
        <v>Orientation Quaternion X</v>
      </c>
      <c r="F55" s="22">
        <f>IF($L55="","",SUMIF($L$5:L55,L55,$G$5:G55)-G55)</f>
        <v>18</v>
      </c>
      <c r="G55" s="22">
        <f>IF($L55="","",IF($C55&gt;$M55,Overview!$B$26,IFERROR(INDEX(Fields!$F$5:$F$48,MATCH($D55,Fields!$A$5:$A$48,0)),0)))</f>
        <v>4</v>
      </c>
      <c r="H55" s="22">
        <f t="shared" si="0"/>
        <v>21</v>
      </c>
      <c r="I55" s="21" t="str">
        <f>IF($L55="","",IF($C55&gt;$M55,IF(Overview!$B$26=1,"uint8","uint8["&amp;Overview!$B$26&amp;"]"),IFERROR(INDEX(Fields!$E$5:$E$48,MATCH($D55,Fields!$A$5:$A$48,0)),"MISSING")))</f>
        <v>IEEE-754 float32</v>
      </c>
      <c r="J55" s="21" t="str">
        <f>IF($L55="","",IF($C55&gt;$M55,"Fixed end-of-frame delimiter, value "&amp;Overview!$B$25&amp;".",IFERROR(INDEX(Fields!$G$5:$G$48,MATCH($D55,Fields!$A$5:$A$48,0)),"MISSING")))</f>
        <v>Unitless normalized quaternion component.</v>
      </c>
      <c r="K55" s="21" t="str">
        <f>IF($L55="","",IF($C55&gt;$M55,"n/a",IFERROR(INDEX(Fields!$H$5:$H$48,MATCH($D55,Fields!$A$5:$A$48,0)),"MISSING")))</f>
        <v>IRIS_FIELD_ORIENTATION_QUAT_X_LENGTH</v>
      </c>
      <c r="L55" s="23">
        <f>IF(ROWS($L$5:L55)&gt;MAX('Packet Builder'!$O$5:$O$34),"",COUNTIF('Packet Builder'!$O$5:$O$34,"&lt;"&amp;ROWS($L$5:L55))+1)</f>
        <v>6</v>
      </c>
      <c r="M55" s="23">
        <f>IF($L55="","",INDEX('Packet Builder'!$F$5:$F$34,$L55))</f>
        <v>34</v>
      </c>
    </row>
    <row r="56" spans="1:13" x14ac:dyDescent="0.35">
      <c r="A56" s="21" t="str">
        <f>IF($L56="","",INDEX('Packet Builder'!$A$5:$A$34,$L56))</f>
        <v>0xE0</v>
      </c>
      <c r="B56" s="21" t="str">
        <f>IF($L56="","",INDEX('Packet Builder'!$B$5:$B$34,$L56))</f>
        <v>Witness Debug</v>
      </c>
      <c r="C56" s="22">
        <f>IF($L56="","",ROWS($L$5:L56)-(INDEX('Packet Builder'!$O$5:$O$34,$L56)-$M56-1))</f>
        <v>9</v>
      </c>
      <c r="D56" s="22">
        <f>IF($L56="","",IF($C56&gt;$M56,"EOF",IFERROR(VALUE(TRIM(MID(SUBSTITUTE(INDEX('Packet Builder'!$P$5:$P$34,$L56),",",REPT(" ",LEN(INDEX('Packet Builder'!$P$5:$P$34,$L56)))),($C56-1)*LEN(INDEX('Packet Builder'!$P$5:$P$34,$L56))+1,LEN(INDEX('Packet Builder'!$P$5:$P$34,$L56))))),"ERR")))</f>
        <v>12</v>
      </c>
      <c r="E56" s="21" t="str">
        <f>IF($L56="","",IF($C56&gt;$M56,"End of Frame Delimiter",IFERROR(INDEX(Fields!$B$5:$B$48,MATCH($D56,Fields!$A$5:$A$48,0)),"MISSING")))</f>
        <v>Orientation Quaternion Y</v>
      </c>
      <c r="F56" s="22">
        <f>IF($L56="","",SUMIF($L$5:L56,L56,$G$5:G56)-G56)</f>
        <v>22</v>
      </c>
      <c r="G56" s="22">
        <f>IF($L56="","",IF($C56&gt;$M56,Overview!$B$26,IFERROR(INDEX(Fields!$F$5:$F$48,MATCH($D56,Fields!$A$5:$A$48,0)),0)))</f>
        <v>4</v>
      </c>
      <c r="H56" s="22">
        <f t="shared" si="0"/>
        <v>25</v>
      </c>
      <c r="I56" s="21" t="str">
        <f>IF($L56="","",IF($C56&gt;$M56,IF(Overview!$B$26=1,"uint8","uint8["&amp;Overview!$B$26&amp;"]"),IFERROR(INDEX(Fields!$E$5:$E$48,MATCH($D56,Fields!$A$5:$A$48,0)),"MISSING")))</f>
        <v>IEEE-754 float32</v>
      </c>
      <c r="J56" s="21" t="str">
        <f>IF($L56="","",IF($C56&gt;$M56,"Fixed end-of-frame delimiter, value "&amp;Overview!$B$25&amp;".",IFERROR(INDEX(Fields!$G$5:$G$48,MATCH($D56,Fields!$A$5:$A$48,0)),"MISSING")))</f>
        <v>Unitless normalized quaternion component.</v>
      </c>
      <c r="K56" s="21" t="str">
        <f>IF($L56="","",IF($C56&gt;$M56,"n/a",IFERROR(INDEX(Fields!$H$5:$H$48,MATCH($D56,Fields!$A$5:$A$48,0)),"MISSING")))</f>
        <v>IRIS_FIELD_ORIENTATION_QUAT_Y_LENGTH</v>
      </c>
      <c r="L56" s="23">
        <f>IF(ROWS($L$5:L56)&gt;MAX('Packet Builder'!$O$5:$O$34),"",COUNTIF('Packet Builder'!$O$5:$O$34,"&lt;"&amp;ROWS($L$5:L56))+1)</f>
        <v>6</v>
      </c>
      <c r="M56" s="23">
        <f>IF($L56="","",INDEX('Packet Builder'!$F$5:$F$34,$L56))</f>
        <v>34</v>
      </c>
    </row>
    <row r="57" spans="1:13" x14ac:dyDescent="0.35">
      <c r="A57" s="21" t="str">
        <f>IF($L57="","",INDEX('Packet Builder'!$A$5:$A$34,$L57))</f>
        <v>0xE0</v>
      </c>
      <c r="B57" s="21" t="str">
        <f>IF($L57="","",INDEX('Packet Builder'!$B$5:$B$34,$L57))</f>
        <v>Witness Debug</v>
      </c>
      <c r="C57" s="22">
        <f>IF($L57="","",ROWS($L$5:L57)-(INDEX('Packet Builder'!$O$5:$O$34,$L57)-$M57-1))</f>
        <v>10</v>
      </c>
      <c r="D57" s="22">
        <f>IF($L57="","",IF($C57&gt;$M57,"EOF",IFERROR(VALUE(TRIM(MID(SUBSTITUTE(INDEX('Packet Builder'!$P$5:$P$34,$L57),",",REPT(" ",LEN(INDEX('Packet Builder'!$P$5:$P$34,$L57)))),($C57-1)*LEN(INDEX('Packet Builder'!$P$5:$P$34,$L57))+1,LEN(INDEX('Packet Builder'!$P$5:$P$34,$L57))))),"ERR")))</f>
        <v>13</v>
      </c>
      <c r="E57" s="21" t="str">
        <f>IF($L57="","",IF($C57&gt;$M57,"End of Frame Delimiter",IFERROR(INDEX(Fields!$B$5:$B$48,MATCH($D57,Fields!$A$5:$A$48,0)),"MISSING")))</f>
        <v>Orientation Quaternion Z</v>
      </c>
      <c r="F57" s="22">
        <f>IF($L57="","",SUMIF($L$5:L57,L57,$G$5:G57)-G57)</f>
        <v>26</v>
      </c>
      <c r="G57" s="22">
        <f>IF($L57="","",IF($C57&gt;$M57,Overview!$B$26,IFERROR(INDEX(Fields!$F$5:$F$48,MATCH($D57,Fields!$A$5:$A$48,0)),0)))</f>
        <v>4</v>
      </c>
      <c r="H57" s="22">
        <f t="shared" si="0"/>
        <v>29</v>
      </c>
      <c r="I57" s="21" t="str">
        <f>IF($L57="","",IF($C57&gt;$M57,IF(Overview!$B$26=1,"uint8","uint8["&amp;Overview!$B$26&amp;"]"),IFERROR(INDEX(Fields!$E$5:$E$48,MATCH($D57,Fields!$A$5:$A$48,0)),"MISSING")))</f>
        <v>IEEE-754 float32</v>
      </c>
      <c r="J57" s="21" t="str">
        <f>IF($L57="","",IF($C57&gt;$M57,"Fixed end-of-frame delimiter, value "&amp;Overview!$B$25&amp;".",IFERROR(INDEX(Fields!$G$5:$G$48,MATCH($D57,Fields!$A$5:$A$48,0)),"MISSING")))</f>
        <v>Unitless normalized quaternion component.</v>
      </c>
      <c r="K57" s="21" t="str">
        <f>IF($L57="","",IF($C57&gt;$M57,"n/a",IFERROR(INDEX(Fields!$H$5:$H$48,MATCH($D57,Fields!$A$5:$A$48,0)),"MISSING")))</f>
        <v>IRIS_FIELD_ORIENTATION_QUAT_Z_LENGTH</v>
      </c>
      <c r="L57" s="23">
        <f>IF(ROWS($L$5:L57)&gt;MAX('Packet Builder'!$O$5:$O$34),"",COUNTIF('Packet Builder'!$O$5:$O$34,"&lt;"&amp;ROWS($L$5:L57))+1)</f>
        <v>6</v>
      </c>
      <c r="M57" s="23">
        <f>IF($L57="","",INDEX('Packet Builder'!$F$5:$F$34,$L57))</f>
        <v>34</v>
      </c>
    </row>
    <row r="58" spans="1:13" x14ac:dyDescent="0.35">
      <c r="A58" s="21" t="str">
        <f>IF($L58="","",INDEX('Packet Builder'!$A$5:$A$34,$L58))</f>
        <v>0xE0</v>
      </c>
      <c r="B58" s="21" t="str">
        <f>IF($L58="","",INDEX('Packet Builder'!$B$5:$B$34,$L58))</f>
        <v>Witness Debug</v>
      </c>
      <c r="C58" s="22">
        <f>IF($L58="","",ROWS($L$5:L58)-(INDEX('Packet Builder'!$O$5:$O$34,$L58)-$M58-1))</f>
        <v>11</v>
      </c>
      <c r="D58" s="22">
        <f>IF($L58="","",IF($C58&gt;$M58,"EOF",IFERROR(VALUE(TRIM(MID(SUBSTITUTE(INDEX('Packet Builder'!$P$5:$P$34,$L58),",",REPT(" ",LEN(INDEX('Packet Builder'!$P$5:$P$34,$L58)))),($C58-1)*LEN(INDEX('Packet Builder'!$P$5:$P$34,$L58))+1,LEN(INDEX('Packet Builder'!$P$5:$P$34,$L58))))),"ERR")))</f>
        <v>14</v>
      </c>
      <c r="E58" s="21" t="str">
        <f>IF($L58="","",IF($C58&gt;$M58,"End of Frame Delimiter",IFERROR(INDEX(Fields!$B$5:$B$48,MATCH($D58,Fields!$A$5:$A$48,0)),"MISSING")))</f>
        <v>Orientation Quaternion W</v>
      </c>
      <c r="F58" s="22">
        <f>IF($L58="","",SUMIF($L$5:L58,L58,$G$5:G58)-G58)</f>
        <v>30</v>
      </c>
      <c r="G58" s="22">
        <f>IF($L58="","",IF($C58&gt;$M58,Overview!$B$26,IFERROR(INDEX(Fields!$F$5:$F$48,MATCH($D58,Fields!$A$5:$A$48,0)),0)))</f>
        <v>4</v>
      </c>
      <c r="H58" s="22">
        <f t="shared" si="0"/>
        <v>33</v>
      </c>
      <c r="I58" s="21" t="str">
        <f>IF($L58="","",IF($C58&gt;$M58,IF(Overview!$B$26=1,"uint8","uint8["&amp;Overview!$B$26&amp;"]"),IFERROR(INDEX(Fields!$E$5:$E$48,MATCH($D58,Fields!$A$5:$A$48,0)),"MISSING")))</f>
        <v>IEEE-754 float32</v>
      </c>
      <c r="J58" s="21" t="str">
        <f>IF($L58="","",IF($C58&gt;$M58,"Fixed end-of-frame delimiter, value "&amp;Overview!$B$25&amp;".",IFERROR(INDEX(Fields!$G$5:$G$48,MATCH($D58,Fields!$A$5:$A$48,0)),"MISSING")))</f>
        <v>Unitless normalized quaternion component.</v>
      </c>
      <c r="K58" s="21" t="str">
        <f>IF($L58="","",IF($C58&gt;$M58,"n/a",IFERROR(INDEX(Fields!$H$5:$H$48,MATCH($D58,Fields!$A$5:$A$48,0)),"MISSING")))</f>
        <v>IRIS_FIELD_ORIENTATION_QUAT_W_LENGTH</v>
      </c>
      <c r="L58" s="23">
        <f>IF(ROWS($L$5:L58)&gt;MAX('Packet Builder'!$O$5:$O$34),"",COUNTIF('Packet Builder'!$O$5:$O$34,"&lt;"&amp;ROWS($L$5:L58))+1)</f>
        <v>6</v>
      </c>
      <c r="M58" s="23">
        <f>IF($L58="","",INDEX('Packet Builder'!$F$5:$F$34,$L58))</f>
        <v>34</v>
      </c>
    </row>
    <row r="59" spans="1:13" x14ac:dyDescent="0.35">
      <c r="A59" s="21" t="str">
        <f>IF($L59="","",INDEX('Packet Builder'!$A$5:$A$34,$L59))</f>
        <v>0xE0</v>
      </c>
      <c r="B59" s="21" t="str">
        <f>IF($L59="","",INDEX('Packet Builder'!$B$5:$B$34,$L59))</f>
        <v>Witness Debug</v>
      </c>
      <c r="C59" s="22">
        <f>IF($L59="","",ROWS($L$5:L59)-(INDEX('Packet Builder'!$O$5:$O$34,$L59)-$M59-1))</f>
        <v>12</v>
      </c>
      <c r="D59" s="22">
        <f>IF($L59="","",IF($C59&gt;$M59,"EOF",IFERROR(VALUE(TRIM(MID(SUBSTITUTE(INDEX('Packet Builder'!$P$5:$P$34,$L59),",",REPT(" ",LEN(INDEX('Packet Builder'!$P$5:$P$34,$L59)))),($C59-1)*LEN(INDEX('Packet Builder'!$P$5:$P$34,$L59))+1,LEN(INDEX('Packet Builder'!$P$5:$P$34,$L59))))),"ERR")))</f>
        <v>15</v>
      </c>
      <c r="E59" s="21" t="str">
        <f>IF($L59="","",IF($C59&gt;$M59,"End of Frame Delimiter",IFERROR(INDEX(Fields!$B$5:$B$48,MATCH($D59,Fields!$A$5:$A$48,0)),"MISSING")))</f>
        <v>Position X</v>
      </c>
      <c r="F59" s="22">
        <f>IF($L59="","",SUMIF($L$5:L59,L59,$G$5:G59)-G59)</f>
        <v>34</v>
      </c>
      <c r="G59" s="22">
        <f>IF($L59="","",IF($C59&gt;$M59,Overview!$B$26,IFERROR(INDEX(Fields!$F$5:$F$48,MATCH($D59,Fields!$A$5:$A$48,0)),0)))</f>
        <v>4</v>
      </c>
      <c r="H59" s="22">
        <f t="shared" si="0"/>
        <v>37</v>
      </c>
      <c r="I59" s="21" t="str">
        <f>IF($L59="","",IF($C59&gt;$M59,IF(Overview!$B$26=1,"uint8","uint8["&amp;Overview!$B$26&amp;"]"),IFERROR(INDEX(Fields!$E$5:$E$48,MATCH($D59,Fields!$A$5:$A$48,0)),"MISSING")))</f>
        <v>IEEE-754 float32</v>
      </c>
      <c r="J59" s="21" t="str">
        <f>IF($L59="","",IF($C59&gt;$M59,"Fixed end-of-frame delimiter, value "&amp;Overview!$B$25&amp;".",IFERROR(INDEX(Fields!$G$5:$G$48,MATCH($D59,Fields!$A$5:$A$48,0)),"MISSING")))</f>
        <v>Meters in the estimator local frame.</v>
      </c>
      <c r="K59" s="21" t="str">
        <f>IF($L59="","",IF($C59&gt;$M59,"n/a",IFERROR(INDEX(Fields!$H$5:$H$48,MATCH($D59,Fields!$A$5:$A$48,0)),"MISSING")))</f>
        <v>IRIS_FIELD_POSITION_X_LENGTH</v>
      </c>
      <c r="L59" s="23">
        <f>IF(ROWS($L$5:L59)&gt;MAX('Packet Builder'!$O$5:$O$34),"",COUNTIF('Packet Builder'!$O$5:$O$34,"&lt;"&amp;ROWS($L$5:L59))+1)</f>
        <v>6</v>
      </c>
      <c r="M59" s="23">
        <f>IF($L59="","",INDEX('Packet Builder'!$F$5:$F$34,$L59))</f>
        <v>34</v>
      </c>
    </row>
    <row r="60" spans="1:13" x14ac:dyDescent="0.35">
      <c r="A60" s="21" t="str">
        <f>IF($L60="","",INDEX('Packet Builder'!$A$5:$A$34,$L60))</f>
        <v>0xE0</v>
      </c>
      <c r="B60" s="21" t="str">
        <f>IF($L60="","",INDEX('Packet Builder'!$B$5:$B$34,$L60))</f>
        <v>Witness Debug</v>
      </c>
      <c r="C60" s="22">
        <f>IF($L60="","",ROWS($L$5:L60)-(INDEX('Packet Builder'!$O$5:$O$34,$L60)-$M60-1))</f>
        <v>13</v>
      </c>
      <c r="D60" s="22">
        <f>IF($L60="","",IF($C60&gt;$M60,"EOF",IFERROR(VALUE(TRIM(MID(SUBSTITUTE(INDEX('Packet Builder'!$P$5:$P$34,$L60),",",REPT(" ",LEN(INDEX('Packet Builder'!$P$5:$P$34,$L60)))),($C60-1)*LEN(INDEX('Packet Builder'!$P$5:$P$34,$L60))+1,LEN(INDEX('Packet Builder'!$P$5:$P$34,$L60))))),"ERR")))</f>
        <v>16</v>
      </c>
      <c r="E60" s="21" t="str">
        <f>IF($L60="","",IF($C60&gt;$M60,"End of Frame Delimiter",IFERROR(INDEX(Fields!$B$5:$B$48,MATCH($D60,Fields!$A$5:$A$48,0)),"MISSING")))</f>
        <v>Position Y</v>
      </c>
      <c r="F60" s="22">
        <f>IF($L60="","",SUMIF($L$5:L60,L60,$G$5:G60)-G60)</f>
        <v>38</v>
      </c>
      <c r="G60" s="22">
        <f>IF($L60="","",IF($C60&gt;$M60,Overview!$B$26,IFERROR(INDEX(Fields!$F$5:$F$48,MATCH($D60,Fields!$A$5:$A$48,0)),0)))</f>
        <v>4</v>
      </c>
      <c r="H60" s="22">
        <f t="shared" si="0"/>
        <v>41</v>
      </c>
      <c r="I60" s="21" t="str">
        <f>IF($L60="","",IF($C60&gt;$M60,IF(Overview!$B$26=1,"uint8","uint8["&amp;Overview!$B$26&amp;"]"),IFERROR(INDEX(Fields!$E$5:$E$48,MATCH($D60,Fields!$A$5:$A$48,0)),"MISSING")))</f>
        <v>IEEE-754 float32</v>
      </c>
      <c r="J60" s="21" t="str">
        <f>IF($L60="","",IF($C60&gt;$M60,"Fixed end-of-frame delimiter, value "&amp;Overview!$B$25&amp;".",IFERROR(INDEX(Fields!$G$5:$G$48,MATCH($D60,Fields!$A$5:$A$48,0)),"MISSING")))</f>
        <v>Meters in the estimator local frame.</v>
      </c>
      <c r="K60" s="21" t="str">
        <f>IF($L60="","",IF($C60&gt;$M60,"n/a",IFERROR(INDEX(Fields!$H$5:$H$48,MATCH($D60,Fields!$A$5:$A$48,0)),"MISSING")))</f>
        <v>IRIS_FIELD_POSITION_Y_LENGTH</v>
      </c>
      <c r="L60" s="23">
        <f>IF(ROWS($L$5:L60)&gt;MAX('Packet Builder'!$O$5:$O$34),"",COUNTIF('Packet Builder'!$O$5:$O$34,"&lt;"&amp;ROWS($L$5:L60))+1)</f>
        <v>6</v>
      </c>
      <c r="M60" s="23">
        <f>IF($L60="","",INDEX('Packet Builder'!$F$5:$F$34,$L60))</f>
        <v>34</v>
      </c>
    </row>
    <row r="61" spans="1:13" x14ac:dyDescent="0.35">
      <c r="A61" s="21" t="str">
        <f>IF($L61="","",INDEX('Packet Builder'!$A$5:$A$34,$L61))</f>
        <v>0xE0</v>
      </c>
      <c r="B61" s="21" t="str">
        <f>IF($L61="","",INDEX('Packet Builder'!$B$5:$B$34,$L61))</f>
        <v>Witness Debug</v>
      </c>
      <c r="C61" s="22">
        <f>IF($L61="","",ROWS($L$5:L61)-(INDEX('Packet Builder'!$O$5:$O$34,$L61)-$M61-1))</f>
        <v>14</v>
      </c>
      <c r="D61" s="22">
        <f>IF($L61="","",IF($C61&gt;$M61,"EOF",IFERROR(VALUE(TRIM(MID(SUBSTITUTE(INDEX('Packet Builder'!$P$5:$P$34,$L61),",",REPT(" ",LEN(INDEX('Packet Builder'!$P$5:$P$34,$L61)))),($C61-1)*LEN(INDEX('Packet Builder'!$P$5:$P$34,$L61))+1,LEN(INDEX('Packet Builder'!$P$5:$P$34,$L61))))),"ERR")))</f>
        <v>17</v>
      </c>
      <c r="E61" s="21" t="str">
        <f>IF($L61="","",IF($C61&gt;$M61,"End of Frame Delimiter",IFERROR(INDEX(Fields!$B$5:$B$48,MATCH($D61,Fields!$A$5:$A$48,0)),"MISSING")))</f>
        <v>Position Z</v>
      </c>
      <c r="F61" s="22">
        <f>IF($L61="","",SUMIF($L$5:L61,L61,$G$5:G61)-G61)</f>
        <v>42</v>
      </c>
      <c r="G61" s="22">
        <f>IF($L61="","",IF($C61&gt;$M61,Overview!$B$26,IFERROR(INDEX(Fields!$F$5:$F$48,MATCH($D61,Fields!$A$5:$A$48,0)),0)))</f>
        <v>4</v>
      </c>
      <c r="H61" s="22">
        <f t="shared" si="0"/>
        <v>45</v>
      </c>
      <c r="I61" s="21" t="str">
        <f>IF($L61="","",IF($C61&gt;$M61,IF(Overview!$B$26=1,"uint8","uint8["&amp;Overview!$B$26&amp;"]"),IFERROR(INDEX(Fields!$E$5:$E$48,MATCH($D61,Fields!$A$5:$A$48,0)),"MISSING")))</f>
        <v>IEEE-754 float32</v>
      </c>
      <c r="J61" s="21" t="str">
        <f>IF($L61="","",IF($C61&gt;$M61,"Fixed end-of-frame delimiter, value "&amp;Overview!$B$25&amp;".",IFERROR(INDEX(Fields!$G$5:$G$48,MATCH($D61,Fields!$A$5:$A$48,0)),"MISSING")))</f>
        <v>Meters in the estimator local frame.</v>
      </c>
      <c r="K61" s="21" t="str">
        <f>IF($L61="","",IF($C61&gt;$M61,"n/a",IFERROR(INDEX(Fields!$H$5:$H$48,MATCH($D61,Fields!$A$5:$A$48,0)),"MISSING")))</f>
        <v>IRIS_FIELD_POSITION_Z_LENGTH</v>
      </c>
      <c r="L61" s="23">
        <f>IF(ROWS($L$5:L61)&gt;MAX('Packet Builder'!$O$5:$O$34),"",COUNTIF('Packet Builder'!$O$5:$O$34,"&lt;"&amp;ROWS($L$5:L61))+1)</f>
        <v>6</v>
      </c>
      <c r="M61" s="23">
        <f>IF($L61="","",INDEX('Packet Builder'!$F$5:$F$34,$L61))</f>
        <v>34</v>
      </c>
    </row>
    <row r="62" spans="1:13" x14ac:dyDescent="0.35">
      <c r="A62" s="21" t="str">
        <f>IF($L62="","",INDEX('Packet Builder'!$A$5:$A$34,$L62))</f>
        <v>0xE0</v>
      </c>
      <c r="B62" s="21" t="str">
        <f>IF($L62="","",INDEX('Packet Builder'!$B$5:$B$34,$L62))</f>
        <v>Witness Debug</v>
      </c>
      <c r="C62" s="22">
        <f>IF($L62="","",ROWS($L$5:L62)-(INDEX('Packet Builder'!$O$5:$O$34,$L62)-$M62-1))</f>
        <v>15</v>
      </c>
      <c r="D62" s="22">
        <f>IF($L62="","",IF($C62&gt;$M62,"EOF",IFERROR(VALUE(TRIM(MID(SUBSTITUTE(INDEX('Packet Builder'!$P$5:$P$34,$L62),",",REPT(" ",LEN(INDEX('Packet Builder'!$P$5:$P$34,$L62)))),($C62-1)*LEN(INDEX('Packet Builder'!$P$5:$P$34,$L62))+1,LEN(INDEX('Packet Builder'!$P$5:$P$34,$L62))))),"ERR")))</f>
        <v>18</v>
      </c>
      <c r="E62" s="21" t="str">
        <f>IF($L62="","",IF($C62&gt;$M62,"End of Frame Delimiter",IFERROR(INDEX(Fields!$B$5:$B$48,MATCH($D62,Fields!$A$5:$A$48,0)),"MISSING")))</f>
        <v>Velocity X</v>
      </c>
      <c r="F62" s="22">
        <f>IF($L62="","",SUMIF($L$5:L62,L62,$G$5:G62)-G62)</f>
        <v>46</v>
      </c>
      <c r="G62" s="22">
        <f>IF($L62="","",IF($C62&gt;$M62,Overview!$B$26,IFERROR(INDEX(Fields!$F$5:$F$48,MATCH($D62,Fields!$A$5:$A$48,0)),0)))</f>
        <v>4</v>
      </c>
      <c r="H62" s="22">
        <f t="shared" si="0"/>
        <v>49</v>
      </c>
      <c r="I62" s="21" t="str">
        <f>IF($L62="","",IF($C62&gt;$M62,IF(Overview!$B$26=1,"uint8","uint8["&amp;Overview!$B$26&amp;"]"),IFERROR(INDEX(Fields!$E$5:$E$48,MATCH($D62,Fields!$A$5:$A$48,0)),"MISSING")))</f>
        <v>IEEE-754 float32</v>
      </c>
      <c r="J62" s="21" t="str">
        <f>IF($L62="","",IF($C62&gt;$M62,"Fixed end-of-frame delimiter, value "&amp;Overview!$B$25&amp;".",IFERROR(INDEX(Fields!$G$5:$G$48,MATCH($D62,Fields!$A$5:$A$48,0)),"MISSING")))</f>
        <v>Meters per second in the estimator local frame.</v>
      </c>
      <c r="K62" s="21" t="str">
        <f>IF($L62="","",IF($C62&gt;$M62,"n/a",IFERROR(INDEX(Fields!$H$5:$H$48,MATCH($D62,Fields!$A$5:$A$48,0)),"MISSING")))</f>
        <v>IRIS_FIELD_VELOCITY_X_LENGTH</v>
      </c>
      <c r="L62" s="23">
        <f>IF(ROWS($L$5:L62)&gt;MAX('Packet Builder'!$O$5:$O$34),"",COUNTIF('Packet Builder'!$O$5:$O$34,"&lt;"&amp;ROWS($L$5:L62))+1)</f>
        <v>6</v>
      </c>
      <c r="M62" s="23">
        <f>IF($L62="","",INDEX('Packet Builder'!$F$5:$F$34,$L62))</f>
        <v>34</v>
      </c>
    </row>
    <row r="63" spans="1:13" x14ac:dyDescent="0.35">
      <c r="A63" s="21" t="str">
        <f>IF($L63="","",INDEX('Packet Builder'!$A$5:$A$34,$L63))</f>
        <v>0xE0</v>
      </c>
      <c r="B63" s="21" t="str">
        <f>IF($L63="","",INDEX('Packet Builder'!$B$5:$B$34,$L63))</f>
        <v>Witness Debug</v>
      </c>
      <c r="C63" s="22">
        <f>IF($L63="","",ROWS($L$5:L63)-(INDEX('Packet Builder'!$O$5:$O$34,$L63)-$M63-1))</f>
        <v>16</v>
      </c>
      <c r="D63" s="22">
        <f>IF($L63="","",IF($C63&gt;$M63,"EOF",IFERROR(VALUE(TRIM(MID(SUBSTITUTE(INDEX('Packet Builder'!$P$5:$P$34,$L63),",",REPT(" ",LEN(INDEX('Packet Builder'!$P$5:$P$34,$L63)))),($C63-1)*LEN(INDEX('Packet Builder'!$P$5:$P$34,$L63))+1,LEN(INDEX('Packet Builder'!$P$5:$P$34,$L63))))),"ERR")))</f>
        <v>19</v>
      </c>
      <c r="E63" s="21" t="str">
        <f>IF($L63="","",IF($C63&gt;$M63,"End of Frame Delimiter",IFERROR(INDEX(Fields!$B$5:$B$48,MATCH($D63,Fields!$A$5:$A$48,0)),"MISSING")))</f>
        <v>Velocity Y</v>
      </c>
      <c r="F63" s="22">
        <f>IF($L63="","",SUMIF($L$5:L63,L63,$G$5:G63)-G63)</f>
        <v>50</v>
      </c>
      <c r="G63" s="22">
        <f>IF($L63="","",IF($C63&gt;$M63,Overview!$B$26,IFERROR(INDEX(Fields!$F$5:$F$48,MATCH($D63,Fields!$A$5:$A$48,0)),0)))</f>
        <v>4</v>
      </c>
      <c r="H63" s="22">
        <f t="shared" si="0"/>
        <v>53</v>
      </c>
      <c r="I63" s="21" t="str">
        <f>IF($L63="","",IF($C63&gt;$M63,IF(Overview!$B$26=1,"uint8","uint8["&amp;Overview!$B$26&amp;"]"),IFERROR(INDEX(Fields!$E$5:$E$48,MATCH($D63,Fields!$A$5:$A$48,0)),"MISSING")))</f>
        <v>IEEE-754 float32</v>
      </c>
      <c r="J63" s="21" t="str">
        <f>IF($L63="","",IF($C63&gt;$M63,"Fixed end-of-frame delimiter, value "&amp;Overview!$B$25&amp;".",IFERROR(INDEX(Fields!$G$5:$G$48,MATCH($D63,Fields!$A$5:$A$48,0)),"MISSING")))</f>
        <v>Meters per second in the estimator local frame.</v>
      </c>
      <c r="K63" s="21" t="str">
        <f>IF($L63="","",IF($C63&gt;$M63,"n/a",IFERROR(INDEX(Fields!$H$5:$H$48,MATCH($D63,Fields!$A$5:$A$48,0)),"MISSING")))</f>
        <v>IRIS_FIELD_VELOCITY_Y_LENGTH</v>
      </c>
      <c r="L63" s="23">
        <f>IF(ROWS($L$5:L63)&gt;MAX('Packet Builder'!$O$5:$O$34),"",COUNTIF('Packet Builder'!$O$5:$O$34,"&lt;"&amp;ROWS($L$5:L63))+1)</f>
        <v>6</v>
      </c>
      <c r="M63" s="23">
        <f>IF($L63="","",INDEX('Packet Builder'!$F$5:$F$34,$L63))</f>
        <v>34</v>
      </c>
    </row>
    <row r="64" spans="1:13" x14ac:dyDescent="0.35">
      <c r="A64" s="21" t="str">
        <f>IF($L64="","",INDEX('Packet Builder'!$A$5:$A$34,$L64))</f>
        <v>0xE0</v>
      </c>
      <c r="B64" s="21" t="str">
        <f>IF($L64="","",INDEX('Packet Builder'!$B$5:$B$34,$L64))</f>
        <v>Witness Debug</v>
      </c>
      <c r="C64" s="22">
        <f>IF($L64="","",ROWS($L$5:L64)-(INDEX('Packet Builder'!$O$5:$O$34,$L64)-$M64-1))</f>
        <v>17</v>
      </c>
      <c r="D64" s="22">
        <f>IF($L64="","",IF($C64&gt;$M64,"EOF",IFERROR(VALUE(TRIM(MID(SUBSTITUTE(INDEX('Packet Builder'!$P$5:$P$34,$L64),",",REPT(" ",LEN(INDEX('Packet Builder'!$P$5:$P$34,$L64)))),($C64-1)*LEN(INDEX('Packet Builder'!$P$5:$P$34,$L64))+1,LEN(INDEX('Packet Builder'!$P$5:$P$34,$L64))))),"ERR")))</f>
        <v>20</v>
      </c>
      <c r="E64" s="21" t="str">
        <f>IF($L64="","",IF($C64&gt;$M64,"End of Frame Delimiter",IFERROR(INDEX(Fields!$B$5:$B$48,MATCH($D64,Fields!$A$5:$A$48,0)),"MISSING")))</f>
        <v>Velocity Z</v>
      </c>
      <c r="F64" s="22">
        <f>IF($L64="","",SUMIF($L$5:L64,L64,$G$5:G64)-G64)</f>
        <v>54</v>
      </c>
      <c r="G64" s="22">
        <f>IF($L64="","",IF($C64&gt;$M64,Overview!$B$26,IFERROR(INDEX(Fields!$F$5:$F$48,MATCH($D64,Fields!$A$5:$A$48,0)),0)))</f>
        <v>4</v>
      </c>
      <c r="H64" s="22">
        <f t="shared" si="0"/>
        <v>57</v>
      </c>
      <c r="I64" s="21" t="str">
        <f>IF($L64="","",IF($C64&gt;$M64,IF(Overview!$B$26=1,"uint8","uint8["&amp;Overview!$B$26&amp;"]"),IFERROR(INDEX(Fields!$E$5:$E$48,MATCH($D64,Fields!$A$5:$A$48,0)),"MISSING")))</f>
        <v>IEEE-754 float32</v>
      </c>
      <c r="J64" s="21" t="str">
        <f>IF($L64="","",IF($C64&gt;$M64,"Fixed end-of-frame delimiter, value "&amp;Overview!$B$25&amp;".",IFERROR(INDEX(Fields!$G$5:$G$48,MATCH($D64,Fields!$A$5:$A$48,0)),"MISSING")))</f>
        <v>Meters per second in the estimator local frame.</v>
      </c>
      <c r="K64" s="21" t="str">
        <f>IF($L64="","",IF($C64&gt;$M64,"n/a",IFERROR(INDEX(Fields!$H$5:$H$48,MATCH($D64,Fields!$A$5:$A$48,0)),"MISSING")))</f>
        <v>IRIS_FIELD_VELOCITY_Z_LENGTH</v>
      </c>
      <c r="L64" s="23">
        <f>IF(ROWS($L$5:L64)&gt;MAX('Packet Builder'!$O$5:$O$34),"",COUNTIF('Packet Builder'!$O$5:$O$34,"&lt;"&amp;ROWS($L$5:L64))+1)</f>
        <v>6</v>
      </c>
      <c r="M64" s="23">
        <f>IF($L64="","",INDEX('Packet Builder'!$F$5:$F$34,$L64))</f>
        <v>34</v>
      </c>
    </row>
    <row r="65" spans="1:13" x14ac:dyDescent="0.35">
      <c r="A65" s="21" t="str">
        <f>IF($L65="","",INDEX('Packet Builder'!$A$5:$A$34,$L65))</f>
        <v>0xE0</v>
      </c>
      <c r="B65" s="21" t="str">
        <f>IF($L65="","",INDEX('Packet Builder'!$B$5:$B$34,$L65))</f>
        <v>Witness Debug</v>
      </c>
      <c r="C65" s="22">
        <f>IF($L65="","",ROWS($L$5:L65)-(INDEX('Packet Builder'!$O$5:$O$34,$L65)-$M65-1))</f>
        <v>18</v>
      </c>
      <c r="D65" s="22">
        <f>IF($L65="","",IF($C65&gt;$M65,"EOF",IFERROR(VALUE(TRIM(MID(SUBSTITUTE(INDEX('Packet Builder'!$P$5:$P$34,$L65),",",REPT(" ",LEN(INDEX('Packet Builder'!$P$5:$P$34,$L65)))),($C65-1)*LEN(INDEX('Packet Builder'!$P$5:$P$34,$L65))+1,LEN(INDEX('Packet Builder'!$P$5:$P$34,$L65))))),"ERR")))</f>
        <v>21</v>
      </c>
      <c r="E65" s="21" t="str">
        <f>IF($L65="","",IF($C65&gt;$M65,"End of Frame Delimiter",IFERROR(INDEX(Fields!$B$5:$B$48,MATCH($D65,Fields!$A$5:$A$48,0)),"MISSING")))</f>
        <v>LSM6 Low Accel X</v>
      </c>
      <c r="F65" s="22">
        <f>IF($L65="","",SUMIF($L$5:L65,L65,$G$5:G65)-G65)</f>
        <v>58</v>
      </c>
      <c r="G65" s="22">
        <f>IF($L65="","",IF($C65&gt;$M65,Overview!$B$26,IFERROR(INDEX(Fields!$F$5:$F$48,MATCH($D65,Fields!$A$5:$A$48,0)),0)))</f>
        <v>2</v>
      </c>
      <c r="H65" s="22">
        <f t="shared" si="0"/>
        <v>59</v>
      </c>
      <c r="I65" s="21" t="str">
        <f>IF($L65="","",IF($C65&gt;$M65,IF(Overview!$B$26=1,"uint8","uint8["&amp;Overview!$B$26&amp;"]"),IFERROR(INDEX(Fields!$E$5:$E$48,MATCH($D65,Fields!$A$5:$A$48,0)),"MISSING")))</f>
        <v>int16</v>
      </c>
      <c r="J65" s="21" t="str">
        <f>IF($L65="","",IF($C65&gt;$M65,"Fixed end-of-frame delimiter, value "&amp;Overview!$B$25&amp;".",IFERROR(INDEX(Fields!$G$5:$G$48,MATCH($D65,Fields!$A$5:$A$48,0)),"MISSING")))</f>
        <v>0.488 mg/count at +/-16 g.</v>
      </c>
      <c r="K65" s="21" t="str">
        <f>IF($L65="","",IF($C65&gt;$M65,"n/a",IFERROR(INDEX(Fields!$H$5:$H$48,MATCH($D65,Fields!$A$5:$A$48,0)),"MISSING")))</f>
        <v>IRIS_FIELD_LSM6_LOW_ACCEL_X_LENGTH</v>
      </c>
      <c r="L65" s="23">
        <f>IF(ROWS($L$5:L65)&gt;MAX('Packet Builder'!$O$5:$O$34),"",COUNTIF('Packet Builder'!$O$5:$O$34,"&lt;"&amp;ROWS($L$5:L65))+1)</f>
        <v>6</v>
      </c>
      <c r="M65" s="23">
        <f>IF($L65="","",INDEX('Packet Builder'!$F$5:$F$34,$L65))</f>
        <v>34</v>
      </c>
    </row>
    <row r="66" spans="1:13" x14ac:dyDescent="0.35">
      <c r="A66" s="21" t="str">
        <f>IF($L66="","",INDEX('Packet Builder'!$A$5:$A$34,$L66))</f>
        <v>0xE0</v>
      </c>
      <c r="B66" s="21" t="str">
        <f>IF($L66="","",INDEX('Packet Builder'!$B$5:$B$34,$L66))</f>
        <v>Witness Debug</v>
      </c>
      <c r="C66" s="22">
        <f>IF($L66="","",ROWS($L$5:L66)-(INDEX('Packet Builder'!$O$5:$O$34,$L66)-$M66-1))</f>
        <v>19</v>
      </c>
      <c r="D66" s="22">
        <f>IF($L66="","",IF($C66&gt;$M66,"EOF",IFERROR(VALUE(TRIM(MID(SUBSTITUTE(INDEX('Packet Builder'!$P$5:$P$34,$L66),",",REPT(" ",LEN(INDEX('Packet Builder'!$P$5:$P$34,$L66)))),($C66-1)*LEN(INDEX('Packet Builder'!$P$5:$P$34,$L66))+1,LEN(INDEX('Packet Builder'!$P$5:$P$34,$L66))))),"ERR")))</f>
        <v>22</v>
      </c>
      <c r="E66" s="21" t="str">
        <f>IF($L66="","",IF($C66&gt;$M66,"End of Frame Delimiter",IFERROR(INDEX(Fields!$B$5:$B$48,MATCH($D66,Fields!$A$5:$A$48,0)),"MISSING")))</f>
        <v>LSM6 Low Accel Y</v>
      </c>
      <c r="F66" s="22">
        <f>IF($L66="","",SUMIF($L$5:L66,L66,$G$5:G66)-G66)</f>
        <v>60</v>
      </c>
      <c r="G66" s="22">
        <f>IF($L66="","",IF($C66&gt;$M66,Overview!$B$26,IFERROR(INDEX(Fields!$F$5:$F$48,MATCH($D66,Fields!$A$5:$A$48,0)),0)))</f>
        <v>2</v>
      </c>
      <c r="H66" s="22">
        <f t="shared" si="0"/>
        <v>61</v>
      </c>
      <c r="I66" s="21" t="str">
        <f>IF($L66="","",IF($C66&gt;$M66,IF(Overview!$B$26=1,"uint8","uint8["&amp;Overview!$B$26&amp;"]"),IFERROR(INDEX(Fields!$E$5:$E$48,MATCH($D66,Fields!$A$5:$A$48,0)),"MISSING")))</f>
        <v>int16</v>
      </c>
      <c r="J66" s="21" t="str">
        <f>IF($L66="","",IF($C66&gt;$M66,"Fixed end-of-frame delimiter, value "&amp;Overview!$B$25&amp;".",IFERROR(INDEX(Fields!$G$5:$G$48,MATCH($D66,Fields!$A$5:$A$48,0)),"MISSING")))</f>
        <v>0.488 mg/count at +/-16 g.</v>
      </c>
      <c r="K66" s="21" t="str">
        <f>IF($L66="","",IF($C66&gt;$M66,"n/a",IFERROR(INDEX(Fields!$H$5:$H$48,MATCH($D66,Fields!$A$5:$A$48,0)),"MISSING")))</f>
        <v>IRIS_FIELD_LSM6_LOW_ACCEL_Y_LENGTH</v>
      </c>
      <c r="L66" s="23">
        <f>IF(ROWS($L$5:L66)&gt;MAX('Packet Builder'!$O$5:$O$34),"",COUNTIF('Packet Builder'!$O$5:$O$34,"&lt;"&amp;ROWS($L$5:L66))+1)</f>
        <v>6</v>
      </c>
      <c r="M66" s="23">
        <f>IF($L66="","",INDEX('Packet Builder'!$F$5:$F$34,$L66))</f>
        <v>34</v>
      </c>
    </row>
    <row r="67" spans="1:13" x14ac:dyDescent="0.35">
      <c r="A67" s="21" t="str">
        <f>IF($L67="","",INDEX('Packet Builder'!$A$5:$A$34,$L67))</f>
        <v>0xE0</v>
      </c>
      <c r="B67" s="21" t="str">
        <f>IF($L67="","",INDEX('Packet Builder'!$B$5:$B$34,$L67))</f>
        <v>Witness Debug</v>
      </c>
      <c r="C67" s="22">
        <f>IF($L67="","",ROWS($L$5:L67)-(INDEX('Packet Builder'!$O$5:$O$34,$L67)-$M67-1))</f>
        <v>20</v>
      </c>
      <c r="D67" s="22">
        <f>IF($L67="","",IF($C67&gt;$M67,"EOF",IFERROR(VALUE(TRIM(MID(SUBSTITUTE(INDEX('Packet Builder'!$P$5:$P$34,$L67),",",REPT(" ",LEN(INDEX('Packet Builder'!$P$5:$P$34,$L67)))),($C67-1)*LEN(INDEX('Packet Builder'!$P$5:$P$34,$L67))+1,LEN(INDEX('Packet Builder'!$P$5:$P$34,$L67))))),"ERR")))</f>
        <v>23</v>
      </c>
      <c r="E67" s="21" t="str">
        <f>IF($L67="","",IF($C67&gt;$M67,"End of Frame Delimiter",IFERROR(INDEX(Fields!$B$5:$B$48,MATCH($D67,Fields!$A$5:$A$48,0)),"MISSING")))</f>
        <v>LSM6 Low Accel Z</v>
      </c>
      <c r="F67" s="22">
        <f>IF($L67="","",SUMIF($L$5:L67,L67,$G$5:G67)-G67)</f>
        <v>62</v>
      </c>
      <c r="G67" s="22">
        <f>IF($L67="","",IF($C67&gt;$M67,Overview!$B$26,IFERROR(INDEX(Fields!$F$5:$F$48,MATCH($D67,Fields!$A$5:$A$48,0)),0)))</f>
        <v>2</v>
      </c>
      <c r="H67" s="22">
        <f t="shared" si="0"/>
        <v>63</v>
      </c>
      <c r="I67" s="21" t="str">
        <f>IF($L67="","",IF($C67&gt;$M67,IF(Overview!$B$26=1,"uint8","uint8["&amp;Overview!$B$26&amp;"]"),IFERROR(INDEX(Fields!$E$5:$E$48,MATCH($D67,Fields!$A$5:$A$48,0)),"MISSING")))</f>
        <v>int16</v>
      </c>
      <c r="J67" s="21" t="str">
        <f>IF($L67="","",IF($C67&gt;$M67,"Fixed end-of-frame delimiter, value "&amp;Overview!$B$25&amp;".",IFERROR(INDEX(Fields!$G$5:$G$48,MATCH($D67,Fields!$A$5:$A$48,0)),"MISSING")))</f>
        <v>0.488 mg/count at +/-16 g.</v>
      </c>
      <c r="K67" s="21" t="str">
        <f>IF($L67="","",IF($C67&gt;$M67,"n/a",IFERROR(INDEX(Fields!$H$5:$H$48,MATCH($D67,Fields!$A$5:$A$48,0)),"MISSING")))</f>
        <v>IRIS_FIELD_LSM6_LOW_ACCEL_Z_LENGTH</v>
      </c>
      <c r="L67" s="23">
        <f>IF(ROWS($L$5:L67)&gt;MAX('Packet Builder'!$O$5:$O$34),"",COUNTIF('Packet Builder'!$O$5:$O$34,"&lt;"&amp;ROWS($L$5:L67))+1)</f>
        <v>6</v>
      </c>
      <c r="M67" s="23">
        <f>IF($L67="","",INDEX('Packet Builder'!$F$5:$F$34,$L67))</f>
        <v>34</v>
      </c>
    </row>
    <row r="68" spans="1:13" x14ac:dyDescent="0.35">
      <c r="A68" s="21" t="str">
        <f>IF($L68="","",INDEX('Packet Builder'!$A$5:$A$34,$L68))</f>
        <v>0xE0</v>
      </c>
      <c r="B68" s="21" t="str">
        <f>IF($L68="","",INDEX('Packet Builder'!$B$5:$B$34,$L68))</f>
        <v>Witness Debug</v>
      </c>
      <c r="C68" s="22">
        <f>IF($L68="","",ROWS($L$5:L68)-(INDEX('Packet Builder'!$O$5:$O$34,$L68)-$M68-1))</f>
        <v>21</v>
      </c>
      <c r="D68" s="22">
        <f>IF($L68="","",IF($C68&gt;$M68,"EOF",IFERROR(VALUE(TRIM(MID(SUBSTITUTE(INDEX('Packet Builder'!$P$5:$P$34,$L68),",",REPT(" ",LEN(INDEX('Packet Builder'!$P$5:$P$34,$L68)))),($C68-1)*LEN(INDEX('Packet Builder'!$P$5:$P$34,$L68))+1,LEN(INDEX('Packet Builder'!$P$5:$P$34,$L68))))),"ERR")))</f>
        <v>24</v>
      </c>
      <c r="E68" s="21" t="str">
        <f>IF($L68="","",IF($C68&gt;$M68,"End of Frame Delimiter",IFERROR(INDEX(Fields!$B$5:$B$48,MATCH($D68,Fields!$A$5:$A$48,0)),"MISSING")))</f>
        <v>LSM6 Temperature</v>
      </c>
      <c r="F68" s="22">
        <f>IF($L68="","",SUMIF($L$5:L68,L68,$G$5:G68)-G68)</f>
        <v>64</v>
      </c>
      <c r="G68" s="22">
        <f>IF($L68="","",IF($C68&gt;$M68,Overview!$B$26,IFERROR(INDEX(Fields!$F$5:$F$48,MATCH($D68,Fields!$A$5:$A$48,0)),0)))</f>
        <v>2</v>
      </c>
      <c r="H68" s="22">
        <f t="shared" si="0"/>
        <v>65</v>
      </c>
      <c r="I68" s="21" t="str">
        <f>IF($L68="","",IF($C68&gt;$M68,IF(Overview!$B$26=1,"uint8","uint8["&amp;Overview!$B$26&amp;"]"),IFERROR(INDEX(Fields!$E$5:$E$48,MATCH($D68,Fields!$A$5:$A$48,0)),"MISSING")))</f>
        <v>int16</v>
      </c>
      <c r="J68" s="21" t="str">
        <f>IF($L68="","",IF($C68&gt;$M68,"Fixed end-of-frame delimiter, value "&amp;Overview!$B$25&amp;".",IFERROR(INDEX(Fields!$G$5:$G$48,MATCH($D68,Fields!$A$5:$A$48,0)),"MISSING")))</f>
        <v>Sensor raw code; deg C = 25 + raw / 256.</v>
      </c>
      <c r="K68" s="21" t="str">
        <f>IF($L68="","",IF($C68&gt;$M68,"n/a",IFERROR(INDEX(Fields!$H$5:$H$48,MATCH($D68,Fields!$A$5:$A$48,0)),"MISSING")))</f>
        <v>IRIS_FIELD_LSM6_TEMPERATURE_LENGTH</v>
      </c>
      <c r="L68" s="23">
        <f>IF(ROWS($L$5:L68)&gt;MAX('Packet Builder'!$O$5:$O$34),"",COUNTIF('Packet Builder'!$O$5:$O$34,"&lt;"&amp;ROWS($L$5:L68))+1)</f>
        <v>6</v>
      </c>
      <c r="M68" s="23">
        <f>IF($L68="","",INDEX('Packet Builder'!$F$5:$F$34,$L68))</f>
        <v>34</v>
      </c>
    </row>
    <row r="69" spans="1:13" x14ac:dyDescent="0.35">
      <c r="A69" s="21" t="str">
        <f>IF($L69="","",INDEX('Packet Builder'!$A$5:$A$34,$L69))</f>
        <v>0xE0</v>
      </c>
      <c r="B69" s="21" t="str">
        <f>IF($L69="","",INDEX('Packet Builder'!$B$5:$B$34,$L69))</f>
        <v>Witness Debug</v>
      </c>
      <c r="C69" s="22">
        <f>IF($L69="","",ROWS($L$5:L69)-(INDEX('Packet Builder'!$O$5:$O$34,$L69)-$M69-1))</f>
        <v>22</v>
      </c>
      <c r="D69" s="22">
        <f>IF($L69="","",IF($C69&gt;$M69,"EOF",IFERROR(VALUE(TRIM(MID(SUBSTITUTE(INDEX('Packet Builder'!$P$5:$P$34,$L69),",",REPT(" ",LEN(INDEX('Packet Builder'!$P$5:$P$34,$L69)))),($C69-1)*LEN(INDEX('Packet Builder'!$P$5:$P$34,$L69))+1,LEN(INDEX('Packet Builder'!$P$5:$P$34,$L69))))),"ERR")))</f>
        <v>25</v>
      </c>
      <c r="E69" s="21" t="str">
        <f>IF($L69="","",IF($C69&gt;$M69,"End of Frame Delimiter",IFERROR(INDEX(Fields!$B$5:$B$48,MATCH($D69,Fields!$A$5:$A$48,0)),"MISSING")))</f>
        <v>LSM6 High Accel X</v>
      </c>
      <c r="F69" s="22">
        <f>IF($L69="","",SUMIF($L$5:L69,L69,$G$5:G69)-G69)</f>
        <v>66</v>
      </c>
      <c r="G69" s="22">
        <f>IF($L69="","",IF($C69&gt;$M69,Overview!$B$26,IFERROR(INDEX(Fields!$F$5:$F$48,MATCH($D69,Fields!$A$5:$A$48,0)),0)))</f>
        <v>2</v>
      </c>
      <c r="H69" s="22">
        <f t="shared" ref="H69:H132" si="1">IF($L69="","",F69+G69-1)</f>
        <v>67</v>
      </c>
      <c r="I69" s="21" t="str">
        <f>IF($L69="","",IF($C69&gt;$M69,IF(Overview!$B$26=1,"uint8","uint8["&amp;Overview!$B$26&amp;"]"),IFERROR(INDEX(Fields!$E$5:$E$48,MATCH($D69,Fields!$A$5:$A$48,0)),"MISSING")))</f>
        <v>int16</v>
      </c>
      <c r="J69" s="21" t="str">
        <f>IF($L69="","",IF($C69&gt;$M69,"Fixed end-of-frame delimiter, value "&amp;Overview!$B$25&amp;".",IFERROR(INDEX(Fields!$G$5:$G$48,MATCH($D69,Fields!$A$5:$A$48,0)),"MISSING")))</f>
        <v>10.417 mg/count at +/-320 g.</v>
      </c>
      <c r="K69" s="21" t="str">
        <f>IF($L69="","",IF($C69&gt;$M69,"n/a",IFERROR(INDEX(Fields!$H$5:$H$48,MATCH($D69,Fields!$A$5:$A$48,0)),"MISSING")))</f>
        <v>IRIS_FIELD_LSM6_HIGH_ACCEL_X_LENGTH</v>
      </c>
      <c r="L69" s="23">
        <f>IF(ROWS($L$5:L69)&gt;MAX('Packet Builder'!$O$5:$O$34),"",COUNTIF('Packet Builder'!$O$5:$O$34,"&lt;"&amp;ROWS($L$5:L69))+1)</f>
        <v>6</v>
      </c>
      <c r="M69" s="23">
        <f>IF($L69="","",INDEX('Packet Builder'!$F$5:$F$34,$L69))</f>
        <v>34</v>
      </c>
    </row>
    <row r="70" spans="1:13" x14ac:dyDescent="0.35">
      <c r="A70" s="21" t="str">
        <f>IF($L70="","",INDEX('Packet Builder'!$A$5:$A$34,$L70))</f>
        <v>0xE0</v>
      </c>
      <c r="B70" s="21" t="str">
        <f>IF($L70="","",INDEX('Packet Builder'!$B$5:$B$34,$L70))</f>
        <v>Witness Debug</v>
      </c>
      <c r="C70" s="22">
        <f>IF($L70="","",ROWS($L$5:L70)-(INDEX('Packet Builder'!$O$5:$O$34,$L70)-$M70-1))</f>
        <v>23</v>
      </c>
      <c r="D70" s="22">
        <f>IF($L70="","",IF($C70&gt;$M70,"EOF",IFERROR(VALUE(TRIM(MID(SUBSTITUTE(INDEX('Packet Builder'!$P$5:$P$34,$L70),",",REPT(" ",LEN(INDEX('Packet Builder'!$P$5:$P$34,$L70)))),($C70-1)*LEN(INDEX('Packet Builder'!$P$5:$P$34,$L70))+1,LEN(INDEX('Packet Builder'!$P$5:$P$34,$L70))))),"ERR")))</f>
        <v>26</v>
      </c>
      <c r="E70" s="21" t="str">
        <f>IF($L70="","",IF($C70&gt;$M70,"End of Frame Delimiter",IFERROR(INDEX(Fields!$B$5:$B$48,MATCH($D70,Fields!$A$5:$A$48,0)),"MISSING")))</f>
        <v>LSM6 High Accel Y</v>
      </c>
      <c r="F70" s="22">
        <f>IF($L70="","",SUMIF($L$5:L70,L70,$G$5:G70)-G70)</f>
        <v>68</v>
      </c>
      <c r="G70" s="22">
        <f>IF($L70="","",IF($C70&gt;$M70,Overview!$B$26,IFERROR(INDEX(Fields!$F$5:$F$48,MATCH($D70,Fields!$A$5:$A$48,0)),0)))</f>
        <v>2</v>
      </c>
      <c r="H70" s="22">
        <f t="shared" si="1"/>
        <v>69</v>
      </c>
      <c r="I70" s="21" t="str">
        <f>IF($L70="","",IF($C70&gt;$M70,IF(Overview!$B$26=1,"uint8","uint8["&amp;Overview!$B$26&amp;"]"),IFERROR(INDEX(Fields!$E$5:$E$48,MATCH($D70,Fields!$A$5:$A$48,0)),"MISSING")))</f>
        <v>int16</v>
      </c>
      <c r="J70" s="21" t="str">
        <f>IF($L70="","",IF($C70&gt;$M70,"Fixed end-of-frame delimiter, value "&amp;Overview!$B$25&amp;".",IFERROR(INDEX(Fields!$G$5:$G$48,MATCH($D70,Fields!$A$5:$A$48,0)),"MISSING")))</f>
        <v>10.417 mg/count at +/-320 g.</v>
      </c>
      <c r="K70" s="21" t="str">
        <f>IF($L70="","",IF($C70&gt;$M70,"n/a",IFERROR(INDEX(Fields!$H$5:$H$48,MATCH($D70,Fields!$A$5:$A$48,0)),"MISSING")))</f>
        <v>IRIS_FIELD_LSM6_HIGH_ACCEL_Y_LENGTH</v>
      </c>
      <c r="L70" s="23">
        <f>IF(ROWS($L$5:L70)&gt;MAX('Packet Builder'!$O$5:$O$34),"",COUNTIF('Packet Builder'!$O$5:$O$34,"&lt;"&amp;ROWS($L$5:L70))+1)</f>
        <v>6</v>
      </c>
      <c r="M70" s="23">
        <f>IF($L70="","",INDEX('Packet Builder'!$F$5:$F$34,$L70))</f>
        <v>34</v>
      </c>
    </row>
    <row r="71" spans="1:13" x14ac:dyDescent="0.35">
      <c r="A71" s="21" t="str">
        <f>IF($L71="","",INDEX('Packet Builder'!$A$5:$A$34,$L71))</f>
        <v>0xE0</v>
      </c>
      <c r="B71" s="21" t="str">
        <f>IF($L71="","",INDEX('Packet Builder'!$B$5:$B$34,$L71))</f>
        <v>Witness Debug</v>
      </c>
      <c r="C71" s="22">
        <f>IF($L71="","",ROWS($L$5:L71)-(INDEX('Packet Builder'!$O$5:$O$34,$L71)-$M71-1))</f>
        <v>24</v>
      </c>
      <c r="D71" s="22">
        <f>IF($L71="","",IF($C71&gt;$M71,"EOF",IFERROR(VALUE(TRIM(MID(SUBSTITUTE(INDEX('Packet Builder'!$P$5:$P$34,$L71),",",REPT(" ",LEN(INDEX('Packet Builder'!$P$5:$P$34,$L71)))),($C71-1)*LEN(INDEX('Packet Builder'!$P$5:$P$34,$L71))+1,LEN(INDEX('Packet Builder'!$P$5:$P$34,$L71))))),"ERR")))</f>
        <v>27</v>
      </c>
      <c r="E71" s="21" t="str">
        <f>IF($L71="","",IF($C71&gt;$M71,"End of Frame Delimiter",IFERROR(INDEX(Fields!$B$5:$B$48,MATCH($D71,Fields!$A$5:$A$48,0)),"MISSING")))</f>
        <v>LSM6 High Accel Z</v>
      </c>
      <c r="F71" s="22">
        <f>IF($L71="","",SUMIF($L$5:L71,L71,$G$5:G71)-G71)</f>
        <v>70</v>
      </c>
      <c r="G71" s="22">
        <f>IF($L71="","",IF($C71&gt;$M71,Overview!$B$26,IFERROR(INDEX(Fields!$F$5:$F$48,MATCH($D71,Fields!$A$5:$A$48,0)),0)))</f>
        <v>2</v>
      </c>
      <c r="H71" s="22">
        <f t="shared" si="1"/>
        <v>71</v>
      </c>
      <c r="I71" s="21" t="str">
        <f>IF($L71="","",IF($C71&gt;$M71,IF(Overview!$B$26=1,"uint8","uint8["&amp;Overview!$B$26&amp;"]"),IFERROR(INDEX(Fields!$E$5:$E$48,MATCH($D71,Fields!$A$5:$A$48,0)),"MISSING")))</f>
        <v>int16</v>
      </c>
      <c r="J71" s="21" t="str">
        <f>IF($L71="","",IF($C71&gt;$M71,"Fixed end-of-frame delimiter, value "&amp;Overview!$B$25&amp;".",IFERROR(INDEX(Fields!$G$5:$G$48,MATCH($D71,Fields!$A$5:$A$48,0)),"MISSING")))</f>
        <v>10.417 mg/count at +/-320 g.</v>
      </c>
      <c r="K71" s="21" t="str">
        <f>IF($L71="","",IF($C71&gt;$M71,"n/a",IFERROR(INDEX(Fields!$H$5:$H$48,MATCH($D71,Fields!$A$5:$A$48,0)),"MISSING")))</f>
        <v>IRIS_FIELD_LSM6_HIGH_ACCEL_Z_LENGTH</v>
      </c>
      <c r="L71" s="23">
        <f>IF(ROWS($L$5:L71)&gt;MAX('Packet Builder'!$O$5:$O$34),"",COUNTIF('Packet Builder'!$O$5:$O$34,"&lt;"&amp;ROWS($L$5:L71))+1)</f>
        <v>6</v>
      </c>
      <c r="M71" s="23">
        <f>IF($L71="","",INDEX('Packet Builder'!$F$5:$F$34,$L71))</f>
        <v>34</v>
      </c>
    </row>
    <row r="72" spans="1:13" x14ac:dyDescent="0.35">
      <c r="A72" s="21" t="str">
        <f>IF($L72="","",INDEX('Packet Builder'!$A$5:$A$34,$L72))</f>
        <v>0xE0</v>
      </c>
      <c r="B72" s="21" t="str">
        <f>IF($L72="","",INDEX('Packet Builder'!$B$5:$B$34,$L72))</f>
        <v>Witness Debug</v>
      </c>
      <c r="C72" s="22">
        <f>IF($L72="","",ROWS($L$5:L72)-(INDEX('Packet Builder'!$O$5:$O$34,$L72)-$M72-1))</f>
        <v>25</v>
      </c>
      <c r="D72" s="22">
        <f>IF($L72="","",IF($C72&gt;$M72,"EOF",IFERROR(VALUE(TRIM(MID(SUBSTITUTE(INDEX('Packet Builder'!$P$5:$P$34,$L72),",",REPT(" ",LEN(INDEX('Packet Builder'!$P$5:$P$34,$L72)))),($C72-1)*LEN(INDEX('Packet Builder'!$P$5:$P$34,$L72))+1,LEN(INDEX('Packet Builder'!$P$5:$P$34,$L72))))),"ERR")))</f>
        <v>28</v>
      </c>
      <c r="E72" s="21" t="str">
        <f>IF($L72="","",IF($C72&gt;$M72,"End of Frame Delimiter",IFERROR(INDEX(Fields!$B$5:$B$48,MATCH($D72,Fields!$A$5:$A$48,0)),"MISSING")))</f>
        <v>LSM6 Gyro X</v>
      </c>
      <c r="F72" s="22">
        <f>IF($L72="","",SUMIF($L$5:L72,L72,$G$5:G72)-G72)</f>
        <v>72</v>
      </c>
      <c r="G72" s="22">
        <f>IF($L72="","",IF($C72&gt;$M72,Overview!$B$26,IFERROR(INDEX(Fields!$F$5:$F$48,MATCH($D72,Fields!$A$5:$A$48,0)),0)))</f>
        <v>2</v>
      </c>
      <c r="H72" s="22">
        <f t="shared" si="1"/>
        <v>73</v>
      </c>
      <c r="I72" s="21" t="str">
        <f>IF($L72="","",IF($C72&gt;$M72,IF(Overview!$B$26=1,"uint8","uint8["&amp;Overview!$B$26&amp;"]"),IFERROR(INDEX(Fields!$E$5:$E$48,MATCH($D72,Fields!$A$5:$A$48,0)),"MISSING")))</f>
        <v>int16</v>
      </c>
      <c r="J72" s="21" t="str">
        <f>IF($L72="","",IF($C72&gt;$M72,"Fixed end-of-frame delimiter, value "&amp;Overview!$B$25&amp;".",IFERROR(INDEX(Fields!$G$5:$G$48,MATCH($D72,Fields!$A$5:$A$48,0)),"MISSING")))</f>
        <v>70 mdps/count at +/-2000 dps.</v>
      </c>
      <c r="K72" s="21" t="str">
        <f>IF($L72="","",IF($C72&gt;$M72,"n/a",IFERROR(INDEX(Fields!$H$5:$H$48,MATCH($D72,Fields!$A$5:$A$48,0)),"MISSING")))</f>
        <v>IRIS_FIELD_LSM6_GYRO_X_LENGTH</v>
      </c>
      <c r="L72" s="23">
        <f>IF(ROWS($L$5:L72)&gt;MAX('Packet Builder'!$O$5:$O$34),"",COUNTIF('Packet Builder'!$O$5:$O$34,"&lt;"&amp;ROWS($L$5:L72))+1)</f>
        <v>6</v>
      </c>
      <c r="M72" s="23">
        <f>IF($L72="","",INDEX('Packet Builder'!$F$5:$F$34,$L72))</f>
        <v>34</v>
      </c>
    </row>
    <row r="73" spans="1:13" x14ac:dyDescent="0.35">
      <c r="A73" s="21" t="str">
        <f>IF($L73="","",INDEX('Packet Builder'!$A$5:$A$34,$L73))</f>
        <v>0xE0</v>
      </c>
      <c r="B73" s="21" t="str">
        <f>IF($L73="","",INDEX('Packet Builder'!$B$5:$B$34,$L73))</f>
        <v>Witness Debug</v>
      </c>
      <c r="C73" s="22">
        <f>IF($L73="","",ROWS($L$5:L73)-(INDEX('Packet Builder'!$O$5:$O$34,$L73)-$M73-1))</f>
        <v>26</v>
      </c>
      <c r="D73" s="22">
        <f>IF($L73="","",IF($C73&gt;$M73,"EOF",IFERROR(VALUE(TRIM(MID(SUBSTITUTE(INDEX('Packet Builder'!$P$5:$P$34,$L73),",",REPT(" ",LEN(INDEX('Packet Builder'!$P$5:$P$34,$L73)))),($C73-1)*LEN(INDEX('Packet Builder'!$P$5:$P$34,$L73))+1,LEN(INDEX('Packet Builder'!$P$5:$P$34,$L73))))),"ERR")))</f>
        <v>29</v>
      </c>
      <c r="E73" s="21" t="str">
        <f>IF($L73="","",IF($C73&gt;$M73,"End of Frame Delimiter",IFERROR(INDEX(Fields!$B$5:$B$48,MATCH($D73,Fields!$A$5:$A$48,0)),"MISSING")))</f>
        <v>LSM6 Gyro Y</v>
      </c>
      <c r="F73" s="22">
        <f>IF($L73="","",SUMIF($L$5:L73,L73,$G$5:G73)-G73)</f>
        <v>74</v>
      </c>
      <c r="G73" s="22">
        <f>IF($L73="","",IF($C73&gt;$M73,Overview!$B$26,IFERROR(INDEX(Fields!$F$5:$F$48,MATCH($D73,Fields!$A$5:$A$48,0)),0)))</f>
        <v>2</v>
      </c>
      <c r="H73" s="22">
        <f t="shared" si="1"/>
        <v>75</v>
      </c>
      <c r="I73" s="21" t="str">
        <f>IF($L73="","",IF($C73&gt;$M73,IF(Overview!$B$26=1,"uint8","uint8["&amp;Overview!$B$26&amp;"]"),IFERROR(INDEX(Fields!$E$5:$E$48,MATCH($D73,Fields!$A$5:$A$48,0)),"MISSING")))</f>
        <v>int16</v>
      </c>
      <c r="J73" s="21" t="str">
        <f>IF($L73="","",IF($C73&gt;$M73,"Fixed end-of-frame delimiter, value "&amp;Overview!$B$25&amp;".",IFERROR(INDEX(Fields!$G$5:$G$48,MATCH($D73,Fields!$A$5:$A$48,0)),"MISSING")))</f>
        <v>70 mdps/count at +/-2000 dps.</v>
      </c>
      <c r="K73" s="21" t="str">
        <f>IF($L73="","",IF($C73&gt;$M73,"n/a",IFERROR(INDEX(Fields!$H$5:$H$48,MATCH($D73,Fields!$A$5:$A$48,0)),"MISSING")))</f>
        <v>IRIS_FIELD_LSM6_GYRO_Y_LENGTH</v>
      </c>
      <c r="L73" s="23">
        <f>IF(ROWS($L$5:L73)&gt;MAX('Packet Builder'!$O$5:$O$34),"",COUNTIF('Packet Builder'!$O$5:$O$34,"&lt;"&amp;ROWS($L$5:L73))+1)</f>
        <v>6</v>
      </c>
      <c r="M73" s="23">
        <f>IF($L73="","",INDEX('Packet Builder'!$F$5:$F$34,$L73))</f>
        <v>34</v>
      </c>
    </row>
    <row r="74" spans="1:13" x14ac:dyDescent="0.35">
      <c r="A74" s="21" t="str">
        <f>IF($L74="","",INDEX('Packet Builder'!$A$5:$A$34,$L74))</f>
        <v>0xE0</v>
      </c>
      <c r="B74" s="21" t="str">
        <f>IF($L74="","",INDEX('Packet Builder'!$B$5:$B$34,$L74))</f>
        <v>Witness Debug</v>
      </c>
      <c r="C74" s="22">
        <f>IF($L74="","",ROWS($L$5:L74)-(INDEX('Packet Builder'!$O$5:$O$34,$L74)-$M74-1))</f>
        <v>27</v>
      </c>
      <c r="D74" s="22">
        <f>IF($L74="","",IF($C74&gt;$M74,"EOF",IFERROR(VALUE(TRIM(MID(SUBSTITUTE(INDEX('Packet Builder'!$P$5:$P$34,$L74),",",REPT(" ",LEN(INDEX('Packet Builder'!$P$5:$P$34,$L74)))),($C74-1)*LEN(INDEX('Packet Builder'!$P$5:$P$34,$L74))+1,LEN(INDEX('Packet Builder'!$P$5:$P$34,$L74))))),"ERR")))</f>
        <v>30</v>
      </c>
      <c r="E74" s="21" t="str">
        <f>IF($L74="","",IF($C74&gt;$M74,"End of Frame Delimiter",IFERROR(INDEX(Fields!$B$5:$B$48,MATCH($D74,Fields!$A$5:$A$48,0)),"MISSING")))</f>
        <v>LSM6 Gyro Z</v>
      </c>
      <c r="F74" s="22">
        <f>IF($L74="","",SUMIF($L$5:L74,L74,$G$5:G74)-G74)</f>
        <v>76</v>
      </c>
      <c r="G74" s="22">
        <f>IF($L74="","",IF($C74&gt;$M74,Overview!$B$26,IFERROR(INDEX(Fields!$F$5:$F$48,MATCH($D74,Fields!$A$5:$A$48,0)),0)))</f>
        <v>2</v>
      </c>
      <c r="H74" s="22">
        <f t="shared" si="1"/>
        <v>77</v>
      </c>
      <c r="I74" s="21" t="str">
        <f>IF($L74="","",IF($C74&gt;$M74,IF(Overview!$B$26=1,"uint8","uint8["&amp;Overview!$B$26&amp;"]"),IFERROR(INDEX(Fields!$E$5:$E$48,MATCH($D74,Fields!$A$5:$A$48,0)),"MISSING")))</f>
        <v>int16</v>
      </c>
      <c r="J74" s="21" t="str">
        <f>IF($L74="","",IF($C74&gt;$M74,"Fixed end-of-frame delimiter, value "&amp;Overview!$B$25&amp;".",IFERROR(INDEX(Fields!$G$5:$G$48,MATCH($D74,Fields!$A$5:$A$48,0)),"MISSING")))</f>
        <v>70 mdps/count at +/-2000 dps.</v>
      </c>
      <c r="K74" s="21" t="str">
        <f>IF($L74="","",IF($C74&gt;$M74,"n/a",IFERROR(INDEX(Fields!$H$5:$H$48,MATCH($D74,Fields!$A$5:$A$48,0)),"MISSING")))</f>
        <v>IRIS_FIELD_LSM6_GYRO_Z_LENGTH</v>
      </c>
      <c r="L74" s="23">
        <f>IF(ROWS($L$5:L74)&gt;MAX('Packet Builder'!$O$5:$O$34),"",COUNTIF('Packet Builder'!$O$5:$O$34,"&lt;"&amp;ROWS($L$5:L74))+1)</f>
        <v>6</v>
      </c>
      <c r="M74" s="23">
        <f>IF($L74="","",INDEX('Packet Builder'!$F$5:$F$34,$L74))</f>
        <v>34</v>
      </c>
    </row>
    <row r="75" spans="1:13" x14ac:dyDescent="0.35">
      <c r="A75" s="21" t="str">
        <f>IF($L75="","",INDEX('Packet Builder'!$A$5:$A$34,$L75))</f>
        <v>0xE0</v>
      </c>
      <c r="B75" s="21" t="str">
        <f>IF($L75="","",INDEX('Packet Builder'!$B$5:$B$34,$L75))</f>
        <v>Witness Debug</v>
      </c>
      <c r="C75" s="22">
        <f>IF($L75="","",ROWS($L$5:L75)-(INDEX('Packet Builder'!$O$5:$O$34,$L75)-$M75-1))</f>
        <v>28</v>
      </c>
      <c r="D75" s="22">
        <f>IF($L75="","",IF($C75&gt;$M75,"EOF",IFERROR(VALUE(TRIM(MID(SUBSTITUTE(INDEX('Packet Builder'!$P$5:$P$34,$L75),",",REPT(" ",LEN(INDEX('Packet Builder'!$P$5:$P$34,$L75)))),($C75-1)*LEN(INDEX('Packet Builder'!$P$5:$P$34,$L75))+1,LEN(INDEX('Packet Builder'!$P$5:$P$34,$L75))))),"ERR")))</f>
        <v>31</v>
      </c>
      <c r="E75" s="21" t="str">
        <f>IF($L75="","",IF($C75&gt;$M75,"End of Frame Delimiter",IFERROR(INDEX(Fields!$B$5:$B$48,MATCH($D75,Fields!$A$5:$A$48,0)),"MISSING")))</f>
        <v>MS5607 Pressure</v>
      </c>
      <c r="F75" s="22">
        <f>IF($L75="","",SUMIF($L$5:L75,L75,$G$5:G75)-G75)</f>
        <v>78</v>
      </c>
      <c r="G75" s="22">
        <f>IF($L75="","",IF($C75&gt;$M75,Overview!$B$26,IFERROR(INDEX(Fields!$F$5:$F$48,MATCH($D75,Fields!$A$5:$A$48,0)),0)))</f>
        <v>3</v>
      </c>
      <c r="H75" s="22">
        <f t="shared" si="1"/>
        <v>80</v>
      </c>
      <c r="I75" s="21" t="str">
        <f>IF($L75="","",IF($C75&gt;$M75,IF(Overview!$B$26=1,"uint8","uint8["&amp;Overview!$B$26&amp;"]"),IFERROR(INDEX(Fields!$E$5:$E$48,MATCH($D75,Fields!$A$5:$A$48,0)),"MISSING")))</f>
        <v>uint24</v>
      </c>
      <c r="J75" s="21" t="str">
        <f>IF($L75="","",IF($C75&gt;$M75,"Fixed end-of-frame delimiter, value "&amp;Overview!$B$25&amp;".",IFERROR(INDEX(Fields!$G$5:$G$48,MATCH($D75,Fields!$A$5:$A$48,0)),"MISSING")))</f>
        <v>1 Pa/count (equivalent to 0.01 mbar/count).</v>
      </c>
      <c r="K75" s="21" t="str">
        <f>IF($L75="","",IF($C75&gt;$M75,"n/a",IFERROR(INDEX(Fields!$H$5:$H$48,MATCH($D75,Fields!$A$5:$A$48,0)),"MISSING")))</f>
        <v>IRIS_FIELD_MS5607_PRESSURE_LENGTH</v>
      </c>
      <c r="L75" s="23">
        <f>IF(ROWS($L$5:L75)&gt;MAX('Packet Builder'!$O$5:$O$34),"",COUNTIF('Packet Builder'!$O$5:$O$34,"&lt;"&amp;ROWS($L$5:L75))+1)</f>
        <v>6</v>
      </c>
      <c r="M75" s="23">
        <f>IF($L75="","",INDEX('Packet Builder'!$F$5:$F$34,$L75))</f>
        <v>34</v>
      </c>
    </row>
    <row r="76" spans="1:13" x14ac:dyDescent="0.35">
      <c r="A76" s="21" t="str">
        <f>IF($L76="","",INDEX('Packet Builder'!$A$5:$A$34,$L76))</f>
        <v>0xE0</v>
      </c>
      <c r="B76" s="21" t="str">
        <f>IF($L76="","",INDEX('Packet Builder'!$B$5:$B$34,$L76))</f>
        <v>Witness Debug</v>
      </c>
      <c r="C76" s="22">
        <f>IF($L76="","",ROWS($L$5:L76)-(INDEX('Packet Builder'!$O$5:$O$34,$L76)-$M76-1))</f>
        <v>29</v>
      </c>
      <c r="D76" s="22">
        <f>IF($L76="","",IF($C76&gt;$M76,"EOF",IFERROR(VALUE(TRIM(MID(SUBSTITUTE(INDEX('Packet Builder'!$P$5:$P$34,$L76),",",REPT(" ",LEN(INDEX('Packet Builder'!$P$5:$P$34,$L76)))),($C76-1)*LEN(INDEX('Packet Builder'!$P$5:$P$34,$L76))+1,LEN(INDEX('Packet Builder'!$P$5:$P$34,$L76))))),"ERR")))</f>
        <v>32</v>
      </c>
      <c r="E76" s="21" t="str">
        <f>IF($L76="","",IF($C76&gt;$M76,"End of Frame Delimiter",IFERROR(INDEX(Fields!$B$5:$B$48,MATCH($D76,Fields!$A$5:$A$48,0)),"MISSING")))</f>
        <v>MS5607 Temperature</v>
      </c>
      <c r="F76" s="22">
        <f>IF($L76="","",SUMIF($L$5:L76,L76,$G$5:G76)-G76)</f>
        <v>81</v>
      </c>
      <c r="G76" s="22">
        <f>IF($L76="","",IF($C76&gt;$M76,Overview!$B$26,IFERROR(INDEX(Fields!$F$5:$F$48,MATCH($D76,Fields!$A$5:$A$48,0)),0)))</f>
        <v>2</v>
      </c>
      <c r="H76" s="22">
        <f t="shared" si="1"/>
        <v>82</v>
      </c>
      <c r="I76" s="21" t="str">
        <f>IF($L76="","",IF($C76&gt;$M76,IF(Overview!$B$26=1,"uint8","uint8["&amp;Overview!$B$26&amp;"]"),IFERROR(INDEX(Fields!$E$5:$E$48,MATCH($D76,Fields!$A$5:$A$48,0)),"MISSING")))</f>
        <v>int16</v>
      </c>
      <c r="J76" s="21" t="str">
        <f>IF($L76="","",IF($C76&gt;$M76,"Fixed end-of-frame delimiter, value "&amp;Overview!$B$25&amp;".",IFERROR(INDEX(Fields!$G$5:$G$48,MATCH($D76,Fields!$A$5:$A$48,0)),"MISSING")))</f>
        <v>0.01 deg C/count.</v>
      </c>
      <c r="K76" s="21" t="str">
        <f>IF($L76="","",IF($C76&gt;$M76,"n/a",IFERROR(INDEX(Fields!$H$5:$H$48,MATCH($D76,Fields!$A$5:$A$48,0)),"MISSING")))</f>
        <v>IRIS_FIELD_MS5607_TEMPERATURE_LENGTH</v>
      </c>
      <c r="L76" s="23">
        <f>IF(ROWS($L$5:L76)&gt;MAX('Packet Builder'!$O$5:$O$34),"",COUNTIF('Packet Builder'!$O$5:$O$34,"&lt;"&amp;ROWS($L$5:L76))+1)</f>
        <v>6</v>
      </c>
      <c r="M76" s="23">
        <f>IF($L76="","",INDEX('Packet Builder'!$F$5:$F$34,$L76))</f>
        <v>34</v>
      </c>
    </row>
    <row r="77" spans="1:13" x14ac:dyDescent="0.35">
      <c r="A77" s="21" t="str">
        <f>IF($L77="","",INDEX('Packet Builder'!$A$5:$A$34,$L77))</f>
        <v>0xE0</v>
      </c>
      <c r="B77" s="21" t="str">
        <f>IF($L77="","",INDEX('Packet Builder'!$B$5:$B$34,$L77))</f>
        <v>Witness Debug</v>
      </c>
      <c r="C77" s="22">
        <f>IF($L77="","",ROWS($L$5:L77)-(INDEX('Packet Builder'!$O$5:$O$34,$L77)-$M77-1))</f>
        <v>30</v>
      </c>
      <c r="D77" s="22">
        <f>IF($L77="","",IF($C77&gt;$M77,"EOF",IFERROR(VALUE(TRIM(MID(SUBSTITUTE(INDEX('Packet Builder'!$P$5:$P$34,$L77),",",REPT(" ",LEN(INDEX('Packet Builder'!$P$5:$P$34,$L77)))),($C77-1)*LEN(INDEX('Packet Builder'!$P$5:$P$34,$L77))+1,LEN(INDEX('Packet Builder'!$P$5:$P$34,$L77))))),"ERR")))</f>
        <v>33</v>
      </c>
      <c r="E77" s="21" t="str">
        <f>IF($L77="","",IF($C77&gt;$M77,"End of Frame Delimiter",IFERROR(INDEX(Fields!$B$5:$B$48,MATCH($D77,Fields!$A$5:$A$48,0)),"MISSING")))</f>
        <v>MS5607 Altitude</v>
      </c>
      <c r="F77" s="22">
        <f>IF($L77="","",SUMIF($L$5:L77,L77,$G$5:G77)-G77)</f>
        <v>83</v>
      </c>
      <c r="G77" s="22">
        <f>IF($L77="","",IF($C77&gt;$M77,Overview!$B$26,IFERROR(INDEX(Fields!$F$5:$F$48,MATCH($D77,Fields!$A$5:$A$48,0)),0)))</f>
        <v>4</v>
      </c>
      <c r="H77" s="22">
        <f t="shared" si="1"/>
        <v>86</v>
      </c>
      <c r="I77" s="21" t="str">
        <f>IF($L77="","",IF($C77&gt;$M77,IF(Overview!$B$26=1,"uint8","uint8["&amp;Overview!$B$26&amp;"]"),IFERROR(INDEX(Fields!$E$5:$E$48,MATCH($D77,Fields!$A$5:$A$48,0)),"MISSING")))</f>
        <v>IEEE-754 float32</v>
      </c>
      <c r="J77" s="21" t="str">
        <f>IF($L77="","",IF($C77&gt;$M77,"Fixed end-of-frame delimiter, value "&amp;Overview!$B$25&amp;".",IFERROR(INDEX(Fields!$G$5:$G$48,MATCH($D77,Fields!$A$5:$A$48,0)),"MISSING")))</f>
        <v>Meters above the configured pressure reference.</v>
      </c>
      <c r="K77" s="21" t="str">
        <f>IF($L77="","",IF($C77&gt;$M77,"n/a",IFERROR(INDEX(Fields!$H$5:$H$48,MATCH($D77,Fields!$A$5:$A$48,0)),"MISSING")))</f>
        <v>IRIS_FIELD_MS5607_ALTITUDE_LENGTH</v>
      </c>
      <c r="L77" s="23">
        <f>IF(ROWS($L$5:L77)&gt;MAX('Packet Builder'!$O$5:$O$34),"",COUNTIF('Packet Builder'!$O$5:$O$34,"&lt;"&amp;ROWS($L$5:L77))+1)</f>
        <v>6</v>
      </c>
      <c r="M77" s="23">
        <f>IF($L77="","",INDEX('Packet Builder'!$F$5:$F$34,$L77))</f>
        <v>34</v>
      </c>
    </row>
    <row r="78" spans="1:13" x14ac:dyDescent="0.35">
      <c r="A78" s="21" t="str">
        <f>IF($L78="","",INDEX('Packet Builder'!$A$5:$A$34,$L78))</f>
        <v>0xE0</v>
      </c>
      <c r="B78" s="21" t="str">
        <f>IF($L78="","",INDEX('Packet Builder'!$B$5:$B$34,$L78))</f>
        <v>Witness Debug</v>
      </c>
      <c r="C78" s="22">
        <f>IF($L78="","",ROWS($L$5:L78)-(INDEX('Packet Builder'!$O$5:$O$34,$L78)-$M78-1))</f>
        <v>31</v>
      </c>
      <c r="D78" s="22">
        <f>IF($L78="","",IF($C78&gt;$M78,"EOF",IFERROR(VALUE(TRIM(MID(SUBSTITUTE(INDEX('Packet Builder'!$P$5:$P$34,$L78),",",REPT(" ",LEN(INDEX('Packet Builder'!$P$5:$P$34,$L78)))),($C78-1)*LEN(INDEX('Packet Builder'!$P$5:$P$34,$L78))+1,LEN(INDEX('Packet Builder'!$P$5:$P$34,$L78))))),"ERR")))</f>
        <v>34</v>
      </c>
      <c r="E78" s="21" t="str">
        <f>IF($L78="","",IF($C78&gt;$M78,"End of Frame Delimiter",IFERROR(INDEX(Fields!$B$5:$B$48,MATCH($D78,Fields!$A$5:$A$48,0)),"MISSING")))</f>
        <v>Latitude</v>
      </c>
      <c r="F78" s="22">
        <f>IF($L78="","",SUMIF($L$5:L78,L78,$G$5:G78)-G78)</f>
        <v>87</v>
      </c>
      <c r="G78" s="22">
        <f>IF($L78="","",IF($C78&gt;$M78,Overview!$B$26,IFERROR(INDEX(Fields!$F$5:$F$48,MATCH($D78,Fields!$A$5:$A$48,0)),0)))</f>
        <v>3</v>
      </c>
      <c r="H78" s="22">
        <f t="shared" si="1"/>
        <v>89</v>
      </c>
      <c r="I78" s="21" t="str">
        <f>IF($L78="","",IF($C78&gt;$M78,IF(Overview!$B$26=1,"uint8","uint8["&amp;Overview!$B$26&amp;"]"),IFERROR(INDEX(Fields!$E$5:$E$48,MATCH($D78,Fields!$A$5:$A$48,0)),"MISSING")))</f>
        <v>signed int24</v>
      </c>
      <c r="J78" s="21" t="str">
        <f>IF($L78="","",IF($C78&gt;$M78,"Fixed end-of-frame delimiter, value "&amp;Overview!$B$25&amp;".",IFERROR(INDEX(Fields!$G$5:$G$48,MATCH($D78,Fields!$A$5:$A$48,0)),"MISSING")))</f>
        <v>0.0001 degree/count; degrees = raw / 10,000.</v>
      </c>
      <c r="K78" s="21" t="str">
        <f>IF($L78="","",IF($C78&gt;$M78,"n/a",IFERROR(INDEX(Fields!$H$5:$H$48,MATCH($D78,Fields!$A$5:$A$48,0)),"MISSING")))</f>
        <v>IRIS_FIELD_LATITUDE_LENGTH</v>
      </c>
      <c r="L78" s="23">
        <f>IF(ROWS($L$5:L78)&gt;MAX('Packet Builder'!$O$5:$O$34),"",COUNTIF('Packet Builder'!$O$5:$O$34,"&lt;"&amp;ROWS($L$5:L78))+1)</f>
        <v>6</v>
      </c>
      <c r="M78" s="23">
        <f>IF($L78="","",INDEX('Packet Builder'!$F$5:$F$34,$L78))</f>
        <v>34</v>
      </c>
    </row>
    <row r="79" spans="1:13" x14ac:dyDescent="0.35">
      <c r="A79" s="21" t="str">
        <f>IF($L79="","",INDEX('Packet Builder'!$A$5:$A$34,$L79))</f>
        <v>0xE0</v>
      </c>
      <c r="B79" s="21" t="str">
        <f>IF($L79="","",INDEX('Packet Builder'!$B$5:$B$34,$L79))</f>
        <v>Witness Debug</v>
      </c>
      <c r="C79" s="22">
        <f>IF($L79="","",ROWS($L$5:L79)-(INDEX('Packet Builder'!$O$5:$O$34,$L79)-$M79-1))</f>
        <v>32</v>
      </c>
      <c r="D79" s="22">
        <f>IF($L79="","",IF($C79&gt;$M79,"EOF",IFERROR(VALUE(TRIM(MID(SUBSTITUTE(INDEX('Packet Builder'!$P$5:$P$34,$L79),",",REPT(" ",LEN(INDEX('Packet Builder'!$P$5:$P$34,$L79)))),($C79-1)*LEN(INDEX('Packet Builder'!$P$5:$P$34,$L79))+1,LEN(INDEX('Packet Builder'!$P$5:$P$34,$L79))))),"ERR")))</f>
        <v>35</v>
      </c>
      <c r="E79" s="21" t="str">
        <f>IF($L79="","",IF($C79&gt;$M79,"End of Frame Delimiter",IFERROR(INDEX(Fields!$B$5:$B$48,MATCH($D79,Fields!$A$5:$A$48,0)),"MISSING")))</f>
        <v>Longitude</v>
      </c>
      <c r="F79" s="22">
        <f>IF($L79="","",SUMIF($L$5:L79,L79,$G$5:G79)-G79)</f>
        <v>90</v>
      </c>
      <c r="G79" s="22">
        <f>IF($L79="","",IF($C79&gt;$M79,Overview!$B$26,IFERROR(INDEX(Fields!$F$5:$F$48,MATCH($D79,Fields!$A$5:$A$48,0)),0)))</f>
        <v>3</v>
      </c>
      <c r="H79" s="22">
        <f t="shared" si="1"/>
        <v>92</v>
      </c>
      <c r="I79" s="21" t="str">
        <f>IF($L79="","",IF($C79&gt;$M79,IF(Overview!$B$26=1,"uint8","uint8["&amp;Overview!$B$26&amp;"]"),IFERROR(INDEX(Fields!$E$5:$E$48,MATCH($D79,Fields!$A$5:$A$48,0)),"MISSING")))</f>
        <v>signed int24</v>
      </c>
      <c r="J79" s="21" t="str">
        <f>IF($L79="","",IF($C79&gt;$M79,"Fixed end-of-frame delimiter, value "&amp;Overview!$B$25&amp;".",IFERROR(INDEX(Fields!$G$5:$G$48,MATCH($D79,Fields!$A$5:$A$48,0)),"MISSING")))</f>
        <v>0.0001 degree/count; degrees = raw / 10,000.</v>
      </c>
      <c r="K79" s="21" t="str">
        <f>IF($L79="","",IF($C79&gt;$M79,"n/a",IFERROR(INDEX(Fields!$H$5:$H$48,MATCH($D79,Fields!$A$5:$A$48,0)),"MISSING")))</f>
        <v>IRIS_FIELD_LONGITUDE_LENGTH</v>
      </c>
      <c r="L79" s="23">
        <f>IF(ROWS($L$5:L79)&gt;MAX('Packet Builder'!$O$5:$O$34),"",COUNTIF('Packet Builder'!$O$5:$O$34,"&lt;"&amp;ROWS($L$5:L79))+1)</f>
        <v>6</v>
      </c>
      <c r="M79" s="23">
        <f>IF($L79="","",INDEX('Packet Builder'!$F$5:$F$34,$L79))</f>
        <v>34</v>
      </c>
    </row>
    <row r="80" spans="1:13" x14ac:dyDescent="0.35">
      <c r="A80" s="21" t="str">
        <f>IF($L80="","",INDEX('Packet Builder'!$A$5:$A$34,$L80))</f>
        <v>0xE0</v>
      </c>
      <c r="B80" s="21" t="str">
        <f>IF($L80="","",INDEX('Packet Builder'!$B$5:$B$34,$L80))</f>
        <v>Witness Debug</v>
      </c>
      <c r="C80" s="22">
        <f>IF($L80="","",ROWS($L$5:L80)-(INDEX('Packet Builder'!$O$5:$O$34,$L80)-$M80-1))</f>
        <v>33</v>
      </c>
      <c r="D80" s="22">
        <f>IF($L80="","",IF($C80&gt;$M80,"EOF",IFERROR(VALUE(TRIM(MID(SUBSTITUTE(INDEX('Packet Builder'!$P$5:$P$34,$L80),",",REPT(" ",LEN(INDEX('Packet Builder'!$P$5:$P$34,$L80)))),($C80-1)*LEN(INDEX('Packet Builder'!$P$5:$P$34,$L80))+1,LEN(INDEX('Packet Builder'!$P$5:$P$34,$L80))))),"ERR")))</f>
        <v>36</v>
      </c>
      <c r="E80" s="21" t="str">
        <f>IF($L80="","",IF($C80&gt;$M80,"End of Frame Delimiter",IFERROR(INDEX(Fields!$B$5:$B$48,MATCH($D80,Fields!$A$5:$A$48,0)),"MISSING")))</f>
        <v>GPS Time</v>
      </c>
      <c r="F80" s="22">
        <f>IF($L80="","",SUMIF($L$5:L80,L80,$G$5:G80)-G80)</f>
        <v>93</v>
      </c>
      <c r="G80" s="22">
        <f>IF($L80="","",IF($C80&gt;$M80,Overview!$B$26,IFERROR(INDEX(Fields!$F$5:$F$48,MATCH($D80,Fields!$A$5:$A$48,0)),0)))</f>
        <v>4</v>
      </c>
      <c r="H80" s="22">
        <f t="shared" si="1"/>
        <v>96</v>
      </c>
      <c r="I80" s="21" t="str">
        <f>IF($L80="","",IF($C80&gt;$M80,IF(Overview!$B$26=1,"uint8","uint8["&amp;Overview!$B$26&amp;"]"),IFERROR(INDEX(Fields!$E$5:$E$48,MATCH($D80,Fields!$A$5:$A$48,0)),"MISSING")))</f>
        <v>uint32</v>
      </c>
      <c r="J80" s="21" t="str">
        <f>IF($L80="","",IF($C80&gt;$M80,"Fixed end-of-frame delimiter, value "&amp;Overview!$B$25&amp;".",IFERROR(INDEX(Fields!$G$5:$G$48,MATCH($D80,Fields!$A$5:$A$48,0)),"MISSING")))</f>
        <v>1 second/count; Unix timestamp in UTC.</v>
      </c>
      <c r="K80" s="21" t="str">
        <f>IF($L80="","",IF($C80&gt;$M80,"n/a",IFERROR(INDEX(Fields!$H$5:$H$48,MATCH($D80,Fields!$A$5:$A$48,0)),"MISSING")))</f>
        <v>IRIS_FIELD_GPS_TIME_LENGTH</v>
      </c>
      <c r="L80" s="23">
        <f>IF(ROWS($L$5:L80)&gt;MAX('Packet Builder'!$O$5:$O$34),"",COUNTIF('Packet Builder'!$O$5:$O$34,"&lt;"&amp;ROWS($L$5:L80))+1)</f>
        <v>6</v>
      </c>
      <c r="M80" s="23">
        <f>IF($L80="","",INDEX('Packet Builder'!$F$5:$F$34,$L80))</f>
        <v>34</v>
      </c>
    </row>
    <row r="81" spans="1:13" x14ac:dyDescent="0.35">
      <c r="A81" s="21" t="str">
        <f>IF($L81="","",INDEX('Packet Builder'!$A$5:$A$34,$L81))</f>
        <v>0xE0</v>
      </c>
      <c r="B81" s="21" t="str">
        <f>IF($L81="","",INDEX('Packet Builder'!$B$5:$B$34,$L81))</f>
        <v>Witness Debug</v>
      </c>
      <c r="C81" s="22">
        <f>IF($L81="","",ROWS($L$5:L81)-(INDEX('Packet Builder'!$O$5:$O$34,$L81)-$M81-1))</f>
        <v>34</v>
      </c>
      <c r="D81" s="22">
        <f>IF($L81="","",IF($C81&gt;$M81,"EOF",IFERROR(VALUE(TRIM(MID(SUBSTITUTE(INDEX('Packet Builder'!$P$5:$P$34,$L81),",",REPT(" ",LEN(INDEX('Packet Builder'!$P$5:$P$34,$L81)))),($C81-1)*LEN(INDEX('Packet Builder'!$P$5:$P$34,$L81))+1,LEN(INDEX('Packet Builder'!$P$5:$P$34,$L81))))),"ERR")))</f>
        <v>37</v>
      </c>
      <c r="E81" s="21" t="str">
        <f>IF($L81="","",IF($C81&gt;$M81,"End of Frame Delimiter",IFERROR(INDEX(Fields!$B$5:$B$48,MATCH($D81,Fields!$A$5:$A$48,0)),"MISSING")))</f>
        <v>GPS Altitude</v>
      </c>
      <c r="F81" s="22">
        <f>IF($L81="","",SUMIF($L$5:L81,L81,$G$5:G81)-G81)</f>
        <v>97</v>
      </c>
      <c r="G81" s="22">
        <f>IF($L81="","",IF($C81&gt;$M81,Overview!$B$26,IFERROR(INDEX(Fields!$F$5:$F$48,MATCH($D81,Fields!$A$5:$A$48,0)),0)))</f>
        <v>4</v>
      </c>
      <c r="H81" s="22">
        <f t="shared" si="1"/>
        <v>100</v>
      </c>
      <c r="I81" s="21" t="str">
        <f>IF($L81="","",IF($C81&gt;$M81,IF(Overview!$B$26=1,"uint8","uint8["&amp;Overview!$B$26&amp;"]"),IFERROR(INDEX(Fields!$E$5:$E$48,MATCH($D81,Fields!$A$5:$A$48,0)),"MISSING")))</f>
        <v>IEEE-754 float32</v>
      </c>
      <c r="J81" s="21" t="str">
        <f>IF($L81="","",IF($C81&gt;$M81,"Fixed end-of-frame delimiter, value "&amp;Overview!$B$25&amp;".",IFERROR(INDEX(Fields!$G$5:$G$48,MATCH($D81,Fields!$A$5:$A$48,0)),"MISSING")))</f>
        <v>Meters above mean sea level.</v>
      </c>
      <c r="K81" s="21" t="str">
        <f>IF($L81="","",IF($C81&gt;$M81,"n/a",IFERROR(INDEX(Fields!$H$5:$H$48,MATCH($D81,Fields!$A$5:$A$48,0)),"MISSING")))</f>
        <v>IRIS_FIELD_GPS_ALTITUDE_LENGTH</v>
      </c>
      <c r="L81" s="23">
        <f>IF(ROWS($L$5:L81)&gt;MAX('Packet Builder'!$O$5:$O$34),"",COUNTIF('Packet Builder'!$O$5:$O$34,"&lt;"&amp;ROWS($L$5:L81))+1)</f>
        <v>6</v>
      </c>
      <c r="M81" s="23">
        <f>IF($L81="","",INDEX('Packet Builder'!$F$5:$F$34,$L81))</f>
        <v>34</v>
      </c>
    </row>
    <row r="82" spans="1:13" x14ac:dyDescent="0.35">
      <c r="A82" s="21" t="str">
        <f>IF($L82="","",INDEX('Packet Builder'!$A$5:$A$34,$L82))</f>
        <v>0xE0</v>
      </c>
      <c r="B82" s="21" t="str">
        <f>IF($L82="","",INDEX('Packet Builder'!$B$5:$B$34,$L82))</f>
        <v>Witness Debug</v>
      </c>
      <c r="C82" s="22">
        <f>IF($L82="","",ROWS($L$5:L82)-(INDEX('Packet Builder'!$O$5:$O$34,$L82)-$M82-1))</f>
        <v>35</v>
      </c>
      <c r="D82" s="22" t="str">
        <f>IF($L82="","",IF($C82&gt;$M82,"EOF",IFERROR(VALUE(TRIM(MID(SUBSTITUTE(INDEX('Packet Builder'!$P$5:$P$34,$L82),",",REPT(" ",LEN(INDEX('Packet Builder'!$P$5:$P$34,$L82)))),($C82-1)*LEN(INDEX('Packet Builder'!$P$5:$P$34,$L82))+1,LEN(INDEX('Packet Builder'!$P$5:$P$34,$L82))))),"ERR")))</f>
        <v>EOF</v>
      </c>
      <c r="E82" s="21" t="str">
        <f>IF($L82="","",IF($C82&gt;$M82,"End of Frame Delimiter",IFERROR(INDEX(Fields!$B$5:$B$48,MATCH($D82,Fields!$A$5:$A$48,0)),"MISSING")))</f>
        <v>End of Frame Delimiter</v>
      </c>
      <c r="F82" s="22">
        <f>IF($L82="","",SUMIF($L$5:L82,L82,$G$5:G82)-G82)</f>
        <v>101</v>
      </c>
      <c r="G82" s="22">
        <f>IF($L82="","",IF($C82&gt;$M82,Overview!$B$26,IFERROR(INDEX(Fields!$F$5:$F$48,MATCH($D82,Fields!$A$5:$A$48,0)),0)))</f>
        <v>1</v>
      </c>
      <c r="H82" s="22">
        <f t="shared" si="1"/>
        <v>101</v>
      </c>
      <c r="I82" s="21" t="str">
        <f>IF($L82="","",IF($C82&gt;$M82,IF(Overview!$B$26=1,"uint8","uint8["&amp;Overview!$B$26&amp;"]"),IFERROR(INDEX(Fields!$E$5:$E$48,MATCH($D82,Fields!$A$5:$A$48,0)),"MISSING")))</f>
        <v>uint8</v>
      </c>
      <c r="J82" s="21" t="str">
        <f>IF($L82="","",IF($C82&gt;$M82,"Fixed end-of-frame delimiter, value "&amp;Overview!$B$25&amp;".",IFERROR(INDEX(Fields!$G$5:$G$48,MATCH($D82,Fields!$A$5:$A$48,0)),"MISSING")))</f>
        <v>Fixed end-of-frame delimiter, value 0x0A.</v>
      </c>
      <c r="K82" s="21" t="str">
        <f>IF($L82="","",IF($C82&gt;$M82,"n/a",IFERROR(INDEX(Fields!$H$5:$H$48,MATCH($D82,Fields!$A$5:$A$48,0)),"MISSING")))</f>
        <v>n/a</v>
      </c>
      <c r="L82" s="23">
        <f>IF(ROWS($L$5:L82)&gt;MAX('Packet Builder'!$O$5:$O$34),"",COUNTIF('Packet Builder'!$O$5:$O$34,"&lt;"&amp;ROWS($L$5:L82))+1)</f>
        <v>6</v>
      </c>
      <c r="M82" s="23">
        <f>IF($L82="","",INDEX('Packet Builder'!$F$5:$F$34,$L82))</f>
        <v>34</v>
      </c>
    </row>
    <row r="83" spans="1:13" x14ac:dyDescent="0.35">
      <c r="A83" s="21" t="str">
        <f>IF($L83="","",INDEX('Packet Builder'!$A$5:$A$34,$L83))</f>
        <v>0xE1</v>
      </c>
      <c r="B83" s="21" t="str">
        <f>IF($L83="","",INDEX('Packet Builder'!$B$5:$B$34,$L83))</f>
        <v>Iris debug</v>
      </c>
      <c r="C83" s="22">
        <f>IF($L83="","",ROWS($L$5:L83)-(INDEX('Packet Builder'!$O$5:$O$34,$L83)-$M83-1))</f>
        <v>1</v>
      </c>
      <c r="D83" s="22">
        <f>IF($L83="","",IF($C83&gt;$M83,"EOF",IFERROR(VALUE(TRIM(MID(SUBSTITUTE(INDEX('Packet Builder'!$P$5:$P$34,$L83),",",REPT(" ",LEN(INDEX('Packet Builder'!$P$5:$P$34,$L83)))),($C83-1)*LEN(INDEX('Packet Builder'!$P$5:$P$34,$L83))+1,LEN(INDEX('Packet Builder'!$P$5:$P$34,$L83))))),"ERR")))</f>
        <v>5</v>
      </c>
      <c r="E83" s="21" t="str">
        <f>IF($L83="","",IF($C83&gt;$M83,"End of Frame Delimiter",IFERROR(INDEX(Fields!$B$5:$B$48,MATCH($D83,Fields!$A$5:$A$48,0)),"MISSING")))</f>
        <v>IRIS Status</v>
      </c>
      <c r="F83" s="22">
        <f>IF($L83="","",SUMIF($L$5:L83,L83,$G$5:G83)-G83)</f>
        <v>0</v>
      </c>
      <c r="G83" s="22">
        <f>IF($L83="","",IF($C83&gt;$M83,Overview!$B$26,IFERROR(INDEX(Fields!$F$5:$F$48,MATCH($D83,Fields!$A$5:$A$48,0)),0)))</f>
        <v>2</v>
      </c>
      <c r="H83" s="22">
        <f t="shared" si="1"/>
        <v>1</v>
      </c>
      <c r="I83" s="21" t="str">
        <f>IF($L83="","",IF($C83&gt;$M83,IF(Overview!$B$26=1,"uint8","uint8["&amp;Overview!$B$26&amp;"]"),IFERROR(INDEX(Fields!$E$5:$E$48,MATCH($D83,Fields!$A$5:$A$48,0)),"MISSING")))</f>
        <v>bitfield[16]</v>
      </c>
      <c r="J83" s="21" t="str">
        <f>IF($L83="","",IF($C83&gt;$M83,"Fixed end-of-frame delimiter, value "&amp;Overview!$B$25&amp;".",IFERROR(INDEX(Fields!$G$5:$G$48,MATCH($D83,Fields!$A$5:$A$48,0)),"MISSING")))</f>
        <v>16 independent flags; no numeric scale.</v>
      </c>
      <c r="K83" s="21" t="str">
        <f>IF($L83="","",IF($C83&gt;$M83,"n/a",IFERROR(INDEX(Fields!$H$5:$H$48,MATCH($D83,Fields!$A$5:$A$48,0)),"MISSING")))</f>
        <v>IRIS_FIELD_IRIS_STATUS_LENGTH</v>
      </c>
      <c r="L83" s="23">
        <f>IF(ROWS($L$5:L83)&gt;MAX('Packet Builder'!$O$5:$O$34),"",COUNTIF('Packet Builder'!$O$5:$O$34,"&lt;"&amp;ROWS($L$5:L83))+1)</f>
        <v>7</v>
      </c>
      <c r="M83" s="23">
        <f>IF($L83="","",INDEX('Packet Builder'!$F$5:$F$34,$L83))</f>
        <v>7</v>
      </c>
    </row>
    <row r="84" spans="1:13" x14ac:dyDescent="0.35">
      <c r="A84" s="21" t="str">
        <f>IF($L84="","",INDEX('Packet Builder'!$A$5:$A$34,$L84))</f>
        <v>0xE1</v>
      </c>
      <c r="B84" s="21" t="str">
        <f>IF($L84="","",INDEX('Packet Builder'!$B$5:$B$34,$L84))</f>
        <v>Iris debug</v>
      </c>
      <c r="C84" s="22">
        <f>IF($L84="","",ROWS($L$5:L84)-(INDEX('Packet Builder'!$O$5:$O$34,$L84)-$M84-1))</f>
        <v>2</v>
      </c>
      <c r="D84" s="22">
        <f>IF($L84="","",IF($C84&gt;$M84,"EOF",IFERROR(VALUE(TRIM(MID(SUBSTITUTE(INDEX('Packet Builder'!$P$5:$P$34,$L84),",",REPT(" ",LEN(INDEX('Packet Builder'!$P$5:$P$34,$L84)))),($C84-1)*LEN(INDEX('Packet Builder'!$P$5:$P$34,$L84))+1,LEN(INDEX('Packet Builder'!$P$5:$P$34,$L84))))),"ERR")))</f>
        <v>4</v>
      </c>
      <c r="E84" s="21" t="str">
        <f>IF($L84="","",IF($C84&gt;$M84,"End of Frame Delimiter",IFERROR(INDEX(Fields!$B$5:$B$48,MATCH($D84,Fields!$A$5:$A$48,0)),"MISSING")))</f>
        <v>IRIS Uptime</v>
      </c>
      <c r="F84" s="22">
        <f>IF($L84="","",SUMIF($L$5:L84,L84,$G$5:G84)-G84)</f>
        <v>2</v>
      </c>
      <c r="G84" s="22">
        <f>IF($L84="","",IF($C84&gt;$M84,Overview!$B$26,IFERROR(INDEX(Fields!$F$5:$F$48,MATCH($D84,Fields!$A$5:$A$48,0)),0)))</f>
        <v>4</v>
      </c>
      <c r="H84" s="22">
        <f t="shared" si="1"/>
        <v>5</v>
      </c>
      <c r="I84" s="21" t="str">
        <f>IF($L84="","",IF($C84&gt;$M84,IF(Overview!$B$26=1,"uint8","uint8["&amp;Overview!$B$26&amp;"]"),IFERROR(INDEX(Fields!$E$5:$E$48,MATCH($D84,Fields!$A$5:$A$48,0)),"MISSING")))</f>
        <v>uint32</v>
      </c>
      <c r="J84" s="21" t="str">
        <f>IF($L84="","",IF($C84&gt;$M84,"Fixed end-of-frame delimiter, value "&amp;Overview!$B$25&amp;".",IFERROR(INDEX(Fields!$G$5:$G$48,MATCH($D84,Fields!$A$5:$A$48,0)),"MISSING")))</f>
        <v>1 ms/count; elapsed time since boot.</v>
      </c>
      <c r="K84" s="21" t="str">
        <f>IF($L84="","",IF($C84&gt;$M84,"n/a",IFERROR(INDEX(Fields!$H$5:$H$48,MATCH($D84,Fields!$A$5:$A$48,0)),"MISSING")))</f>
        <v>IRIS_FIELD_IRIS_UPTIME_LENGTH</v>
      </c>
      <c r="L84" s="23">
        <f>IF(ROWS($L$5:L84)&gt;MAX('Packet Builder'!$O$5:$O$34),"",COUNTIF('Packet Builder'!$O$5:$O$34,"&lt;"&amp;ROWS($L$5:L84))+1)</f>
        <v>7</v>
      </c>
      <c r="M84" s="23">
        <f>IF($L84="","",INDEX('Packet Builder'!$F$5:$F$34,$L84))</f>
        <v>7</v>
      </c>
    </row>
    <row r="85" spans="1:13" x14ac:dyDescent="0.35">
      <c r="A85" s="21" t="str">
        <f>IF($L85="","",INDEX('Packet Builder'!$A$5:$A$34,$L85))</f>
        <v>0xE1</v>
      </c>
      <c r="B85" s="21" t="str">
        <f>IF($L85="","",INDEX('Packet Builder'!$B$5:$B$34,$L85))</f>
        <v>Iris debug</v>
      </c>
      <c r="C85" s="22">
        <f>IF($L85="","",ROWS($L$5:L85)-(INDEX('Packet Builder'!$O$5:$O$34,$L85)-$M85-1))</f>
        <v>3</v>
      </c>
      <c r="D85" s="22">
        <f>IF($L85="","",IF($C85&gt;$M85,"EOF",IFERROR(VALUE(TRIM(MID(SUBSTITUTE(INDEX('Packet Builder'!$P$5:$P$34,$L85),",",REPT(" ",LEN(INDEX('Packet Builder'!$P$5:$P$34,$L85)))),($C85-1)*LEN(INDEX('Packet Builder'!$P$5:$P$34,$L85))+1,LEN(INDEX('Packet Builder'!$P$5:$P$34,$L85))))),"ERR")))</f>
        <v>6</v>
      </c>
      <c r="E85" s="21" t="str">
        <f>IF($L85="","",IF($C85&gt;$M85,"End of Frame Delimiter",IFERROR(INDEX(Fields!$B$5:$B$48,MATCH($D85,Fields!$A$5:$A$48,0)),"MISSING")))</f>
        <v>IRIS MCU Temperature</v>
      </c>
      <c r="F85" s="22">
        <f>IF($L85="","",SUMIF($L$5:L85,L85,$G$5:G85)-G85)</f>
        <v>6</v>
      </c>
      <c r="G85" s="22">
        <f>IF($L85="","",IF($C85&gt;$M85,Overview!$B$26,IFERROR(INDEX(Fields!$F$5:$F$48,MATCH($D85,Fields!$A$5:$A$48,0)),0)))</f>
        <v>1</v>
      </c>
      <c r="H85" s="22">
        <f t="shared" si="1"/>
        <v>6</v>
      </c>
      <c r="I85" s="21" t="str">
        <f>IF($L85="","",IF($C85&gt;$M85,IF(Overview!$B$26=1,"uint8","uint8["&amp;Overview!$B$26&amp;"]"),IFERROR(INDEX(Fields!$E$5:$E$48,MATCH($D85,Fields!$A$5:$A$48,0)),"MISSING")))</f>
        <v>int8</v>
      </c>
      <c r="J85" s="21" t="str">
        <f>IF($L85="","",IF($C85&gt;$M85,"Fixed end-of-frame delimiter, value "&amp;Overview!$B$25&amp;".",IFERROR(INDEX(Fields!$G$5:$G$48,MATCH($D85,Fields!$A$5:$A$48,0)),"MISSING")))</f>
        <v>1 deg C/count; signed MCU die temperature.</v>
      </c>
      <c r="K85" s="21" t="str">
        <f>IF($L85="","",IF($C85&gt;$M85,"n/a",IFERROR(INDEX(Fields!$H$5:$H$48,MATCH($D85,Fields!$A$5:$A$48,0)),"MISSING")))</f>
        <v>IRIS_FIELD_IRIS_MCU_TEMPERATURE_LENGTH</v>
      </c>
      <c r="L85" s="23">
        <f>IF(ROWS($L$5:L85)&gt;MAX('Packet Builder'!$O$5:$O$34),"",COUNTIF('Packet Builder'!$O$5:$O$34,"&lt;"&amp;ROWS($L$5:L85))+1)</f>
        <v>7</v>
      </c>
      <c r="M85" s="23">
        <f>IF($L85="","",INDEX('Packet Builder'!$F$5:$F$34,$L85))</f>
        <v>7</v>
      </c>
    </row>
    <row r="86" spans="1:13" x14ac:dyDescent="0.35">
      <c r="A86" s="21" t="str">
        <f>IF($L86="","",INDEX('Packet Builder'!$A$5:$A$34,$L86))</f>
        <v>0xE1</v>
      </c>
      <c r="B86" s="21" t="str">
        <f>IF($L86="","",INDEX('Packet Builder'!$B$5:$B$34,$L86))</f>
        <v>Iris debug</v>
      </c>
      <c r="C86" s="22">
        <f>IF($L86="","",ROWS($L$5:L86)-(INDEX('Packet Builder'!$O$5:$O$34,$L86)-$M86-1))</f>
        <v>4</v>
      </c>
      <c r="D86" s="22">
        <f>IF($L86="","",IF($C86&gt;$M86,"EOF",IFERROR(VALUE(TRIM(MID(SUBSTITUTE(INDEX('Packet Builder'!$P$5:$P$34,$L86),",",REPT(" ",LEN(INDEX('Packet Builder'!$P$5:$P$34,$L86)))),($C86-1)*LEN(INDEX('Packet Builder'!$P$5:$P$34,$L86))+1,LEN(INDEX('Packet Builder'!$P$5:$P$34,$L86))))),"ERR")))</f>
        <v>7</v>
      </c>
      <c r="E86" s="21" t="str">
        <f>IF($L86="","",IF($C86&gt;$M86,"End of Frame Delimiter",IFERROR(INDEX(Fields!$B$5:$B$48,MATCH($D86,Fields!$A$5:$A$48,0)),"MISSING")))</f>
        <v>IRIS Battery Voltage</v>
      </c>
      <c r="F86" s="22">
        <f>IF($L86="","",SUMIF($L$5:L86,L86,$G$5:G86)-G86)</f>
        <v>7</v>
      </c>
      <c r="G86" s="22">
        <f>IF($L86="","",IF($C86&gt;$M86,Overview!$B$26,IFERROR(INDEX(Fields!$F$5:$F$48,MATCH($D86,Fields!$A$5:$A$48,0)),0)))</f>
        <v>2</v>
      </c>
      <c r="H86" s="22">
        <f t="shared" si="1"/>
        <v>8</v>
      </c>
      <c r="I86" s="21" t="str">
        <f>IF($L86="","",IF($C86&gt;$M86,IF(Overview!$B$26=1,"uint8","uint8["&amp;Overview!$B$26&amp;"]"),IFERROR(INDEX(Fields!$E$5:$E$48,MATCH($D86,Fields!$A$5:$A$48,0)),"MISSING")))</f>
        <v>uint16</v>
      </c>
      <c r="J86" s="21" t="str">
        <f>IF($L86="","",IF($C86&gt;$M86,"Fixed end-of-frame delimiter, value "&amp;Overview!$B$25&amp;".",IFERROR(INDEX(Fields!$G$5:$G$48,MATCH($D86,Fields!$A$5:$A$48,0)),"MISSING")))</f>
        <v>1 mV/count; battery voltage in millivolts.</v>
      </c>
      <c r="K86" s="21" t="str">
        <f>IF($L86="","",IF($C86&gt;$M86,"n/a",IFERROR(INDEX(Fields!$H$5:$H$48,MATCH($D86,Fields!$A$5:$A$48,0)),"MISSING")))</f>
        <v>IRIS_FIELD_IRIS_BATTERY_VOLTAGE_LENGTH</v>
      </c>
      <c r="L86" s="23">
        <f>IF(ROWS($L$5:L86)&gt;MAX('Packet Builder'!$O$5:$O$34),"",COUNTIF('Packet Builder'!$O$5:$O$34,"&lt;"&amp;ROWS($L$5:L86))+1)</f>
        <v>7</v>
      </c>
      <c r="M86" s="23">
        <f>IF($L86="","",INDEX('Packet Builder'!$F$5:$F$34,$L86))</f>
        <v>7</v>
      </c>
    </row>
    <row r="87" spans="1:13" x14ac:dyDescent="0.35">
      <c r="A87" s="21" t="str">
        <f>IF($L87="","",INDEX('Packet Builder'!$A$5:$A$34,$L87))</f>
        <v>0xE1</v>
      </c>
      <c r="B87" s="21" t="str">
        <f>IF($L87="","",INDEX('Packet Builder'!$B$5:$B$34,$L87))</f>
        <v>Iris debug</v>
      </c>
      <c r="C87" s="22">
        <f>IF($L87="","",ROWS($L$5:L87)-(INDEX('Packet Builder'!$O$5:$O$34,$L87)-$M87-1))</f>
        <v>5</v>
      </c>
      <c r="D87" s="22">
        <f>IF($L87="","",IF($C87&gt;$M87,"EOF",IFERROR(VALUE(TRIM(MID(SUBSTITUTE(INDEX('Packet Builder'!$P$5:$P$34,$L87),",",REPT(" ",LEN(INDEX('Packet Builder'!$P$5:$P$34,$L87)))),($C87-1)*LEN(INDEX('Packet Builder'!$P$5:$P$34,$L87))+1,LEN(INDEX('Packet Builder'!$P$5:$P$34,$L87))))),"ERR")))</f>
        <v>38</v>
      </c>
      <c r="E87" s="21" t="str">
        <f>IF($L87="","",IF($C87&gt;$M87,"End of Frame Delimiter",IFERROR(INDEX(Fields!$B$5:$B$48,MATCH($D87,Fields!$A$5:$A$48,0)),"MISSING")))</f>
        <v>Channel 1 Current</v>
      </c>
      <c r="F87" s="22">
        <f>IF($L87="","",SUMIF($L$5:L87,L87,$G$5:G87)-G87)</f>
        <v>9</v>
      </c>
      <c r="G87" s="22">
        <f>IF($L87="","",IF($C87&gt;$M87,Overview!$B$26,IFERROR(INDEX(Fields!$F$5:$F$48,MATCH($D87,Fields!$A$5:$A$48,0)),0)))</f>
        <v>1</v>
      </c>
      <c r="H87" s="22">
        <f t="shared" si="1"/>
        <v>9</v>
      </c>
      <c r="I87" s="21" t="str">
        <f>IF($L87="","",IF($C87&gt;$M87,IF(Overview!$B$26=1,"uint8","uint8["&amp;Overview!$B$26&amp;"]"),IFERROR(INDEX(Fields!$E$5:$E$48,MATCH($D87,Fields!$A$5:$A$48,0)),"MISSING")))</f>
        <v>uint8</v>
      </c>
      <c r="J87" s="21" t="str">
        <f>IF($L87="","",IF($C87&gt;$M87,"Fixed end-of-frame delimiter, value "&amp;Overview!$B$25&amp;".",IFERROR(INDEX(Fields!$G$5:$G$48,MATCH($D87,Fields!$A$5:$A$48,0)),"MISSING")))</f>
        <v>0.1 A/count; current in amperes = raw x 0.1.</v>
      </c>
      <c r="K87" s="21" t="str">
        <f>IF($L87="","",IF($C87&gt;$M87,"n/a",IFERROR(INDEX(Fields!$H$5:$H$48,MATCH($D87,Fields!$A$5:$A$48,0)),"MISSING")))</f>
        <v>IRIS_FIELD_CH1_CURRENT_LENGTH</v>
      </c>
      <c r="L87" s="23">
        <f>IF(ROWS($L$5:L87)&gt;MAX('Packet Builder'!$O$5:$O$34),"",COUNTIF('Packet Builder'!$O$5:$O$34,"&lt;"&amp;ROWS($L$5:L87))+1)</f>
        <v>7</v>
      </c>
      <c r="M87" s="23">
        <f>IF($L87="","",INDEX('Packet Builder'!$F$5:$F$34,$L87))</f>
        <v>7</v>
      </c>
    </row>
    <row r="88" spans="1:13" x14ac:dyDescent="0.35">
      <c r="A88" s="21" t="str">
        <f>IF($L88="","",INDEX('Packet Builder'!$A$5:$A$34,$L88))</f>
        <v>0xE1</v>
      </c>
      <c r="B88" s="21" t="str">
        <f>IF($L88="","",INDEX('Packet Builder'!$B$5:$B$34,$L88))</f>
        <v>Iris debug</v>
      </c>
      <c r="C88" s="22">
        <f>IF($L88="","",ROWS($L$5:L88)-(INDEX('Packet Builder'!$O$5:$O$34,$L88)-$M88-1))</f>
        <v>6</v>
      </c>
      <c r="D88" s="22">
        <f>IF($L88="","",IF($C88&gt;$M88,"EOF",IFERROR(VALUE(TRIM(MID(SUBSTITUTE(INDEX('Packet Builder'!$P$5:$P$34,$L88),",",REPT(" ",LEN(INDEX('Packet Builder'!$P$5:$P$34,$L88)))),($C88-1)*LEN(INDEX('Packet Builder'!$P$5:$P$34,$L88))+1,LEN(INDEX('Packet Builder'!$P$5:$P$34,$L88))))),"ERR")))</f>
        <v>39</v>
      </c>
      <c r="E88" s="21" t="str">
        <f>IF($L88="","",IF($C88&gt;$M88,"End of Frame Delimiter",IFERROR(INDEX(Fields!$B$5:$B$48,MATCH($D88,Fields!$A$5:$A$48,0)),"MISSING")))</f>
        <v>Channel 2 Current</v>
      </c>
      <c r="F88" s="22">
        <f>IF($L88="","",SUMIF($L$5:L88,L88,$G$5:G88)-G88)</f>
        <v>10</v>
      </c>
      <c r="G88" s="22">
        <f>IF($L88="","",IF($C88&gt;$M88,Overview!$B$26,IFERROR(INDEX(Fields!$F$5:$F$48,MATCH($D88,Fields!$A$5:$A$48,0)),0)))</f>
        <v>1</v>
      </c>
      <c r="H88" s="22">
        <f t="shared" si="1"/>
        <v>10</v>
      </c>
      <c r="I88" s="21" t="str">
        <f>IF($L88="","",IF($C88&gt;$M88,IF(Overview!$B$26=1,"uint8","uint8["&amp;Overview!$B$26&amp;"]"),IFERROR(INDEX(Fields!$E$5:$E$48,MATCH($D88,Fields!$A$5:$A$48,0)),"MISSING")))</f>
        <v>uint8</v>
      </c>
      <c r="J88" s="21" t="str">
        <f>IF($L88="","",IF($C88&gt;$M88,"Fixed end-of-frame delimiter, value "&amp;Overview!$B$25&amp;".",IFERROR(INDEX(Fields!$G$5:$G$48,MATCH($D88,Fields!$A$5:$A$48,0)),"MISSING")))</f>
        <v>0.1 A/count; current in amperes = raw x 0.1.</v>
      </c>
      <c r="K88" s="21" t="str">
        <f>IF($L88="","",IF($C88&gt;$M88,"n/a",IFERROR(INDEX(Fields!$H$5:$H$48,MATCH($D88,Fields!$A$5:$A$48,0)),"MISSING")))</f>
        <v>IRIS_FIELD_CH2_CURRENT_LENGTH</v>
      </c>
      <c r="L88" s="23">
        <f>IF(ROWS($L$5:L88)&gt;MAX('Packet Builder'!$O$5:$O$34),"",COUNTIF('Packet Builder'!$O$5:$O$34,"&lt;"&amp;ROWS($L$5:L88))+1)</f>
        <v>7</v>
      </c>
      <c r="M88" s="23">
        <f>IF($L88="","",INDEX('Packet Builder'!$F$5:$F$34,$L88))</f>
        <v>7</v>
      </c>
    </row>
    <row r="89" spans="1:13" x14ac:dyDescent="0.35">
      <c r="A89" s="21" t="str">
        <f>IF($L89="","",INDEX('Packet Builder'!$A$5:$A$34,$L89))</f>
        <v>0xE1</v>
      </c>
      <c r="B89" s="21" t="str">
        <f>IF($L89="","",INDEX('Packet Builder'!$B$5:$B$34,$L89))</f>
        <v>Iris debug</v>
      </c>
      <c r="C89" s="22">
        <f>IF($L89="","",ROWS($L$5:L89)-(INDEX('Packet Builder'!$O$5:$O$34,$L89)-$M89-1))</f>
        <v>7</v>
      </c>
      <c r="D89" s="22">
        <f>IF($L89="","",IF($C89&gt;$M89,"EOF",IFERROR(VALUE(TRIM(MID(SUBSTITUTE(INDEX('Packet Builder'!$P$5:$P$34,$L89),",",REPT(" ",LEN(INDEX('Packet Builder'!$P$5:$P$34,$L89)))),($C89-1)*LEN(INDEX('Packet Builder'!$P$5:$P$34,$L89))+1,LEN(INDEX('Packet Builder'!$P$5:$P$34,$L89))))),"ERR")))</f>
        <v>40</v>
      </c>
      <c r="E89" s="21" t="str">
        <f>IF($L89="","",IF($C89&gt;$M89,"End of Frame Delimiter",IFERROR(INDEX(Fields!$B$5:$B$48,MATCH($D89,Fields!$A$5:$A$48,0)),"MISSING")))</f>
        <v>Channel 3 Current</v>
      </c>
      <c r="F89" s="22">
        <f>IF($L89="","",SUMIF($L$5:L89,L89,$G$5:G89)-G89)</f>
        <v>11</v>
      </c>
      <c r="G89" s="22">
        <f>IF($L89="","",IF($C89&gt;$M89,Overview!$B$26,IFERROR(INDEX(Fields!$F$5:$F$48,MATCH($D89,Fields!$A$5:$A$48,0)),0)))</f>
        <v>1</v>
      </c>
      <c r="H89" s="22">
        <f t="shared" si="1"/>
        <v>11</v>
      </c>
      <c r="I89" s="21" t="str">
        <f>IF($L89="","",IF($C89&gt;$M89,IF(Overview!$B$26=1,"uint8","uint8["&amp;Overview!$B$26&amp;"]"),IFERROR(INDEX(Fields!$E$5:$E$48,MATCH($D89,Fields!$A$5:$A$48,0)),"MISSING")))</f>
        <v>uint8</v>
      </c>
      <c r="J89" s="21" t="str">
        <f>IF($L89="","",IF($C89&gt;$M89,"Fixed end-of-frame delimiter, value "&amp;Overview!$B$25&amp;".",IFERROR(INDEX(Fields!$G$5:$G$48,MATCH($D89,Fields!$A$5:$A$48,0)),"MISSING")))</f>
        <v>0.1 A/count; current in amperes = raw x 0.1.</v>
      </c>
      <c r="K89" s="21" t="str">
        <f>IF($L89="","",IF($C89&gt;$M89,"n/a",IFERROR(INDEX(Fields!$H$5:$H$48,MATCH($D89,Fields!$A$5:$A$48,0)),"MISSING")))</f>
        <v>IRIS_FIELD_CH3_CURRENT_LENGTH</v>
      </c>
      <c r="L89" s="23">
        <f>IF(ROWS($L$5:L89)&gt;MAX('Packet Builder'!$O$5:$O$34),"",COUNTIF('Packet Builder'!$O$5:$O$34,"&lt;"&amp;ROWS($L$5:L89))+1)</f>
        <v>7</v>
      </c>
      <c r="M89" s="23">
        <f>IF($L89="","",INDEX('Packet Builder'!$F$5:$F$34,$L89))</f>
        <v>7</v>
      </c>
    </row>
    <row r="90" spans="1:13" x14ac:dyDescent="0.35">
      <c r="A90" s="21" t="str">
        <f>IF($L90="","",INDEX('Packet Builder'!$A$5:$A$34,$L90))</f>
        <v>0xE1</v>
      </c>
      <c r="B90" s="21" t="str">
        <f>IF($L90="","",INDEX('Packet Builder'!$B$5:$B$34,$L90))</f>
        <v>Iris debug</v>
      </c>
      <c r="C90" s="22">
        <f>IF($L90="","",ROWS($L$5:L90)-(INDEX('Packet Builder'!$O$5:$O$34,$L90)-$M90-1))</f>
        <v>8</v>
      </c>
      <c r="D90" s="22" t="str">
        <f>IF($L90="","",IF($C90&gt;$M90,"EOF",IFERROR(VALUE(TRIM(MID(SUBSTITUTE(INDEX('Packet Builder'!$P$5:$P$34,$L90),",",REPT(" ",LEN(INDEX('Packet Builder'!$P$5:$P$34,$L90)))),($C90-1)*LEN(INDEX('Packet Builder'!$P$5:$P$34,$L90))+1,LEN(INDEX('Packet Builder'!$P$5:$P$34,$L90))))),"ERR")))</f>
        <v>EOF</v>
      </c>
      <c r="E90" s="21" t="str">
        <f>IF($L90="","",IF($C90&gt;$M90,"End of Frame Delimiter",IFERROR(INDEX(Fields!$B$5:$B$48,MATCH($D90,Fields!$A$5:$A$48,0)),"MISSING")))</f>
        <v>End of Frame Delimiter</v>
      </c>
      <c r="F90" s="22">
        <f>IF($L90="","",SUMIF($L$5:L90,L90,$G$5:G90)-G90)</f>
        <v>12</v>
      </c>
      <c r="G90" s="22">
        <f>IF($L90="","",IF($C90&gt;$M90,Overview!$B$26,IFERROR(INDEX(Fields!$F$5:$F$48,MATCH($D90,Fields!$A$5:$A$48,0)),0)))</f>
        <v>1</v>
      </c>
      <c r="H90" s="22">
        <f t="shared" si="1"/>
        <v>12</v>
      </c>
      <c r="I90" s="21" t="str">
        <f>IF($L90="","",IF($C90&gt;$M90,IF(Overview!$B$26=1,"uint8","uint8["&amp;Overview!$B$26&amp;"]"),IFERROR(INDEX(Fields!$E$5:$E$48,MATCH($D90,Fields!$A$5:$A$48,0)),"MISSING")))</f>
        <v>uint8</v>
      </c>
      <c r="J90" s="21" t="str">
        <f>IF($L90="","",IF($C90&gt;$M90,"Fixed end-of-frame delimiter, value "&amp;Overview!$B$25&amp;".",IFERROR(INDEX(Fields!$G$5:$G$48,MATCH($D90,Fields!$A$5:$A$48,0)),"MISSING")))</f>
        <v>Fixed end-of-frame delimiter, value 0x0A.</v>
      </c>
      <c r="K90" s="21" t="str">
        <f>IF($L90="","",IF($C90&gt;$M90,"n/a",IFERROR(INDEX(Fields!$H$5:$H$48,MATCH($D90,Fields!$A$5:$A$48,0)),"MISSING")))</f>
        <v>n/a</v>
      </c>
      <c r="L90" s="23">
        <f>IF(ROWS($L$5:L90)&gt;MAX('Packet Builder'!$O$5:$O$34),"",COUNTIF('Packet Builder'!$O$5:$O$34,"&lt;"&amp;ROWS($L$5:L90))+1)</f>
        <v>7</v>
      </c>
      <c r="M90" s="23">
        <f>IF($L90="","",INDEX('Packet Builder'!$F$5:$F$34,$L90))</f>
        <v>7</v>
      </c>
    </row>
    <row r="91" spans="1:13" x14ac:dyDescent="0.35">
      <c r="A91" s="21" t="str">
        <f>IF($L91="","",INDEX('Packet Builder'!$A$5:$A$34,$L91))</f>
        <v/>
      </c>
      <c r="B91" s="21" t="str">
        <f>IF($L91="","",INDEX('Packet Builder'!$B$5:$B$34,$L91))</f>
        <v/>
      </c>
      <c r="C91" s="22" t="str">
        <f>IF($L91="","",ROWS($L$5:L91)-(INDEX('Packet Builder'!$O$5:$O$34,$L91)-$M91-1))</f>
        <v/>
      </c>
      <c r="D91" s="22" t="str">
        <f>IF($L91="","",IF($C91&gt;$M91,"EOF",IFERROR(VALUE(TRIM(MID(SUBSTITUTE(INDEX('Packet Builder'!$P$5:$P$34,$L91),",",REPT(" ",LEN(INDEX('Packet Builder'!$P$5:$P$34,$L91)))),($C91-1)*LEN(INDEX('Packet Builder'!$P$5:$P$34,$L91))+1,LEN(INDEX('Packet Builder'!$P$5:$P$34,$L91))))),"ERR")))</f>
        <v/>
      </c>
      <c r="E91" s="21" t="str">
        <f>IF($L91="","",IF($C91&gt;$M91,"End of Frame Delimiter",IFERROR(INDEX(Fields!$B$5:$B$48,MATCH($D91,Fields!$A$5:$A$48,0)),"MISSING")))</f>
        <v/>
      </c>
      <c r="F91" s="22" t="str">
        <f>IF($L91="","",SUMIF($L$5:L91,L91,$G$5:G91)-G91)</f>
        <v/>
      </c>
      <c r="G91" s="22" t="str">
        <f>IF($L91="","",IF($C91&gt;$M91,Overview!$B$26,IFERROR(INDEX(Fields!$F$5:$F$48,MATCH($D91,Fields!$A$5:$A$48,0)),0)))</f>
        <v/>
      </c>
      <c r="H91" s="22" t="str">
        <f t="shared" si="1"/>
        <v/>
      </c>
      <c r="I91" s="21" t="str">
        <f>IF($L91="","",IF($C91&gt;$M91,IF(Overview!$B$26=1,"uint8","uint8["&amp;Overview!$B$26&amp;"]"),IFERROR(INDEX(Fields!$E$5:$E$48,MATCH($D91,Fields!$A$5:$A$48,0)),"MISSING")))</f>
        <v/>
      </c>
      <c r="J91" s="21" t="str">
        <f>IF($L91="","",IF($C91&gt;$M91,"Fixed end-of-frame delimiter, value "&amp;Overview!$B$25&amp;".",IFERROR(INDEX(Fields!$G$5:$G$48,MATCH($D91,Fields!$A$5:$A$48,0)),"MISSING")))</f>
        <v/>
      </c>
      <c r="K91" s="21" t="str">
        <f>IF($L91="","",IF($C91&gt;$M91,"n/a",IFERROR(INDEX(Fields!$H$5:$H$48,MATCH($D91,Fields!$A$5:$A$48,0)),"MISSING")))</f>
        <v/>
      </c>
      <c r="L91" s="23" t="str">
        <f>IF(ROWS($L$5:L91)&gt;MAX('Packet Builder'!$O$5:$O$34),"",COUNTIF('Packet Builder'!$O$5:$O$34,"&lt;"&amp;ROWS($L$5:L91))+1)</f>
        <v/>
      </c>
      <c r="M91" s="23" t="str">
        <f>IF($L91="","",INDEX('Packet Builder'!$F$5:$F$34,$L91))</f>
        <v/>
      </c>
    </row>
    <row r="92" spans="1:13" x14ac:dyDescent="0.35">
      <c r="A92" s="21" t="str">
        <f>IF($L92="","",INDEX('Packet Builder'!$A$5:$A$34,$L92))</f>
        <v/>
      </c>
      <c r="B92" s="21" t="str">
        <f>IF($L92="","",INDEX('Packet Builder'!$B$5:$B$34,$L92))</f>
        <v/>
      </c>
      <c r="C92" s="22" t="str">
        <f>IF($L92="","",ROWS($L$5:L92)-(INDEX('Packet Builder'!$O$5:$O$34,$L92)-$M92-1))</f>
        <v/>
      </c>
      <c r="D92" s="22" t="str">
        <f>IF($L92="","",IF($C92&gt;$M92,"EOF",IFERROR(VALUE(TRIM(MID(SUBSTITUTE(INDEX('Packet Builder'!$P$5:$P$34,$L92),",",REPT(" ",LEN(INDEX('Packet Builder'!$P$5:$P$34,$L92)))),($C92-1)*LEN(INDEX('Packet Builder'!$P$5:$P$34,$L92))+1,LEN(INDEX('Packet Builder'!$P$5:$P$34,$L92))))),"ERR")))</f>
        <v/>
      </c>
      <c r="E92" s="21" t="str">
        <f>IF($L92="","",IF($C92&gt;$M92,"End of Frame Delimiter",IFERROR(INDEX(Fields!$B$5:$B$48,MATCH($D92,Fields!$A$5:$A$48,0)),"MISSING")))</f>
        <v/>
      </c>
      <c r="F92" s="22" t="str">
        <f>IF($L92="","",SUMIF($L$5:L92,L92,$G$5:G92)-G92)</f>
        <v/>
      </c>
      <c r="G92" s="22" t="str">
        <f>IF($L92="","",IF($C92&gt;$M92,Overview!$B$26,IFERROR(INDEX(Fields!$F$5:$F$48,MATCH($D92,Fields!$A$5:$A$48,0)),0)))</f>
        <v/>
      </c>
      <c r="H92" s="22" t="str">
        <f t="shared" si="1"/>
        <v/>
      </c>
      <c r="I92" s="21" t="str">
        <f>IF($L92="","",IF($C92&gt;$M92,IF(Overview!$B$26=1,"uint8","uint8["&amp;Overview!$B$26&amp;"]"),IFERROR(INDEX(Fields!$E$5:$E$48,MATCH($D92,Fields!$A$5:$A$48,0)),"MISSING")))</f>
        <v/>
      </c>
      <c r="J92" s="21" t="str">
        <f>IF($L92="","",IF($C92&gt;$M92,"Fixed end-of-frame delimiter, value "&amp;Overview!$B$25&amp;".",IFERROR(INDEX(Fields!$G$5:$G$48,MATCH($D92,Fields!$A$5:$A$48,0)),"MISSING")))</f>
        <v/>
      </c>
      <c r="K92" s="21" t="str">
        <f>IF($L92="","",IF($C92&gt;$M92,"n/a",IFERROR(INDEX(Fields!$H$5:$H$48,MATCH($D92,Fields!$A$5:$A$48,0)),"MISSING")))</f>
        <v/>
      </c>
      <c r="L92" s="23" t="str">
        <f>IF(ROWS($L$5:L92)&gt;MAX('Packet Builder'!$O$5:$O$34),"",COUNTIF('Packet Builder'!$O$5:$O$34,"&lt;"&amp;ROWS($L$5:L92))+1)</f>
        <v/>
      </c>
      <c r="M92" s="23" t="str">
        <f>IF($L92="","",INDEX('Packet Builder'!$F$5:$F$34,$L92))</f>
        <v/>
      </c>
    </row>
    <row r="93" spans="1:13" x14ac:dyDescent="0.35">
      <c r="A93" s="21" t="str">
        <f>IF($L93="","",INDEX('Packet Builder'!$A$5:$A$34,$L93))</f>
        <v/>
      </c>
      <c r="B93" s="21" t="str">
        <f>IF($L93="","",INDEX('Packet Builder'!$B$5:$B$34,$L93))</f>
        <v/>
      </c>
      <c r="C93" s="22" t="str">
        <f>IF($L93="","",ROWS($L$5:L93)-(INDEX('Packet Builder'!$O$5:$O$34,$L93)-$M93-1))</f>
        <v/>
      </c>
      <c r="D93" s="22" t="str">
        <f>IF($L93="","",IF($C93&gt;$M93,"EOF",IFERROR(VALUE(TRIM(MID(SUBSTITUTE(INDEX('Packet Builder'!$P$5:$P$34,$L93),",",REPT(" ",LEN(INDEX('Packet Builder'!$P$5:$P$34,$L93)))),($C93-1)*LEN(INDEX('Packet Builder'!$P$5:$P$34,$L93))+1,LEN(INDEX('Packet Builder'!$P$5:$P$34,$L93))))),"ERR")))</f>
        <v/>
      </c>
      <c r="E93" s="21" t="str">
        <f>IF($L93="","",IF($C93&gt;$M93,"End of Frame Delimiter",IFERROR(INDEX(Fields!$B$5:$B$48,MATCH($D93,Fields!$A$5:$A$48,0)),"MISSING")))</f>
        <v/>
      </c>
      <c r="F93" s="22" t="str">
        <f>IF($L93="","",SUMIF($L$5:L93,L93,$G$5:G93)-G93)</f>
        <v/>
      </c>
      <c r="G93" s="22" t="str">
        <f>IF($L93="","",IF($C93&gt;$M93,Overview!$B$26,IFERROR(INDEX(Fields!$F$5:$F$48,MATCH($D93,Fields!$A$5:$A$48,0)),0)))</f>
        <v/>
      </c>
      <c r="H93" s="22" t="str">
        <f t="shared" si="1"/>
        <v/>
      </c>
      <c r="I93" s="21" t="str">
        <f>IF($L93="","",IF($C93&gt;$M93,IF(Overview!$B$26=1,"uint8","uint8["&amp;Overview!$B$26&amp;"]"),IFERROR(INDEX(Fields!$E$5:$E$48,MATCH($D93,Fields!$A$5:$A$48,0)),"MISSING")))</f>
        <v/>
      </c>
      <c r="J93" s="21" t="str">
        <f>IF($L93="","",IF($C93&gt;$M93,"Fixed end-of-frame delimiter, value "&amp;Overview!$B$25&amp;".",IFERROR(INDEX(Fields!$G$5:$G$48,MATCH($D93,Fields!$A$5:$A$48,0)),"MISSING")))</f>
        <v/>
      </c>
      <c r="K93" s="21" t="str">
        <f>IF($L93="","",IF($C93&gt;$M93,"n/a",IFERROR(INDEX(Fields!$H$5:$H$48,MATCH($D93,Fields!$A$5:$A$48,0)),"MISSING")))</f>
        <v/>
      </c>
      <c r="L93" s="23" t="str">
        <f>IF(ROWS($L$5:L93)&gt;MAX('Packet Builder'!$O$5:$O$34),"",COUNTIF('Packet Builder'!$O$5:$O$34,"&lt;"&amp;ROWS($L$5:L93))+1)</f>
        <v/>
      </c>
      <c r="M93" s="23" t="str">
        <f>IF($L93="","",INDEX('Packet Builder'!$F$5:$F$34,$L93))</f>
        <v/>
      </c>
    </row>
    <row r="94" spans="1:13" x14ac:dyDescent="0.35">
      <c r="A94" s="21" t="str">
        <f>IF($L94="","",INDEX('Packet Builder'!$A$5:$A$34,$L94))</f>
        <v/>
      </c>
      <c r="B94" s="21" t="str">
        <f>IF($L94="","",INDEX('Packet Builder'!$B$5:$B$34,$L94))</f>
        <v/>
      </c>
      <c r="C94" s="22" t="str">
        <f>IF($L94="","",ROWS($L$5:L94)-(INDEX('Packet Builder'!$O$5:$O$34,$L94)-$M94-1))</f>
        <v/>
      </c>
      <c r="D94" s="22" t="str">
        <f>IF($L94="","",IF($C94&gt;$M94,"EOF",IFERROR(VALUE(TRIM(MID(SUBSTITUTE(INDEX('Packet Builder'!$P$5:$P$34,$L94),",",REPT(" ",LEN(INDEX('Packet Builder'!$P$5:$P$34,$L94)))),($C94-1)*LEN(INDEX('Packet Builder'!$P$5:$P$34,$L94))+1,LEN(INDEX('Packet Builder'!$P$5:$P$34,$L94))))),"ERR")))</f>
        <v/>
      </c>
      <c r="E94" s="21" t="str">
        <f>IF($L94="","",IF($C94&gt;$M94,"End of Frame Delimiter",IFERROR(INDEX(Fields!$B$5:$B$48,MATCH($D94,Fields!$A$5:$A$48,0)),"MISSING")))</f>
        <v/>
      </c>
      <c r="F94" s="22" t="str">
        <f>IF($L94="","",SUMIF($L$5:L94,L94,$G$5:G94)-G94)</f>
        <v/>
      </c>
      <c r="G94" s="22" t="str">
        <f>IF($L94="","",IF($C94&gt;$M94,Overview!$B$26,IFERROR(INDEX(Fields!$F$5:$F$48,MATCH($D94,Fields!$A$5:$A$48,0)),0)))</f>
        <v/>
      </c>
      <c r="H94" s="22" t="str">
        <f t="shared" si="1"/>
        <v/>
      </c>
      <c r="I94" s="21" t="str">
        <f>IF($L94="","",IF($C94&gt;$M94,IF(Overview!$B$26=1,"uint8","uint8["&amp;Overview!$B$26&amp;"]"),IFERROR(INDEX(Fields!$E$5:$E$48,MATCH($D94,Fields!$A$5:$A$48,0)),"MISSING")))</f>
        <v/>
      </c>
      <c r="J94" s="21" t="str">
        <f>IF($L94="","",IF($C94&gt;$M94,"Fixed end-of-frame delimiter, value "&amp;Overview!$B$25&amp;".",IFERROR(INDEX(Fields!$G$5:$G$48,MATCH($D94,Fields!$A$5:$A$48,0)),"MISSING")))</f>
        <v/>
      </c>
      <c r="K94" s="21" t="str">
        <f>IF($L94="","",IF($C94&gt;$M94,"n/a",IFERROR(INDEX(Fields!$H$5:$H$48,MATCH($D94,Fields!$A$5:$A$48,0)),"MISSING")))</f>
        <v/>
      </c>
      <c r="L94" s="23" t="str">
        <f>IF(ROWS($L$5:L94)&gt;MAX('Packet Builder'!$O$5:$O$34),"",COUNTIF('Packet Builder'!$O$5:$O$34,"&lt;"&amp;ROWS($L$5:L94))+1)</f>
        <v/>
      </c>
      <c r="M94" s="23" t="str">
        <f>IF($L94="","",INDEX('Packet Builder'!$F$5:$F$34,$L94))</f>
        <v/>
      </c>
    </row>
    <row r="95" spans="1:13" x14ac:dyDescent="0.35">
      <c r="A95" s="21" t="str">
        <f>IF($L95="","",INDEX('Packet Builder'!$A$5:$A$34,$L95))</f>
        <v/>
      </c>
      <c r="B95" s="21" t="str">
        <f>IF($L95="","",INDEX('Packet Builder'!$B$5:$B$34,$L95))</f>
        <v/>
      </c>
      <c r="C95" s="22" t="str">
        <f>IF($L95="","",ROWS($L$5:L95)-(INDEX('Packet Builder'!$O$5:$O$34,$L95)-$M95-1))</f>
        <v/>
      </c>
      <c r="D95" s="22" t="str">
        <f>IF($L95="","",IF($C95&gt;$M95,"EOF",IFERROR(VALUE(TRIM(MID(SUBSTITUTE(INDEX('Packet Builder'!$P$5:$P$34,$L95),",",REPT(" ",LEN(INDEX('Packet Builder'!$P$5:$P$34,$L95)))),($C95-1)*LEN(INDEX('Packet Builder'!$P$5:$P$34,$L95))+1,LEN(INDEX('Packet Builder'!$P$5:$P$34,$L95))))),"ERR")))</f>
        <v/>
      </c>
      <c r="E95" s="21" t="str">
        <f>IF($L95="","",IF($C95&gt;$M95,"End of Frame Delimiter",IFERROR(INDEX(Fields!$B$5:$B$48,MATCH($D95,Fields!$A$5:$A$48,0)),"MISSING")))</f>
        <v/>
      </c>
      <c r="F95" s="22" t="str">
        <f>IF($L95="","",SUMIF($L$5:L95,L95,$G$5:G95)-G95)</f>
        <v/>
      </c>
      <c r="G95" s="22" t="str">
        <f>IF($L95="","",IF($C95&gt;$M95,Overview!$B$26,IFERROR(INDEX(Fields!$F$5:$F$48,MATCH($D95,Fields!$A$5:$A$48,0)),0)))</f>
        <v/>
      </c>
      <c r="H95" s="22" t="str">
        <f t="shared" si="1"/>
        <v/>
      </c>
      <c r="I95" s="21" t="str">
        <f>IF($L95="","",IF($C95&gt;$M95,IF(Overview!$B$26=1,"uint8","uint8["&amp;Overview!$B$26&amp;"]"),IFERROR(INDEX(Fields!$E$5:$E$48,MATCH($D95,Fields!$A$5:$A$48,0)),"MISSING")))</f>
        <v/>
      </c>
      <c r="J95" s="21" t="str">
        <f>IF($L95="","",IF($C95&gt;$M95,"Fixed end-of-frame delimiter, value "&amp;Overview!$B$25&amp;".",IFERROR(INDEX(Fields!$G$5:$G$48,MATCH($D95,Fields!$A$5:$A$48,0)),"MISSING")))</f>
        <v/>
      </c>
      <c r="K95" s="21" t="str">
        <f>IF($L95="","",IF($C95&gt;$M95,"n/a",IFERROR(INDEX(Fields!$H$5:$H$48,MATCH($D95,Fields!$A$5:$A$48,0)),"MISSING")))</f>
        <v/>
      </c>
      <c r="L95" s="23" t="str">
        <f>IF(ROWS($L$5:L95)&gt;MAX('Packet Builder'!$O$5:$O$34),"",COUNTIF('Packet Builder'!$O$5:$O$34,"&lt;"&amp;ROWS($L$5:L95))+1)</f>
        <v/>
      </c>
      <c r="M95" s="23" t="str">
        <f>IF($L95="","",INDEX('Packet Builder'!$F$5:$F$34,$L95))</f>
        <v/>
      </c>
    </row>
    <row r="96" spans="1:13" x14ac:dyDescent="0.35">
      <c r="A96" s="21" t="str">
        <f>IF($L96="","",INDEX('Packet Builder'!$A$5:$A$34,$L96))</f>
        <v/>
      </c>
      <c r="B96" s="21" t="str">
        <f>IF($L96="","",INDEX('Packet Builder'!$B$5:$B$34,$L96))</f>
        <v/>
      </c>
      <c r="C96" s="22" t="str">
        <f>IF($L96="","",ROWS($L$5:L96)-(INDEX('Packet Builder'!$O$5:$O$34,$L96)-$M96-1))</f>
        <v/>
      </c>
      <c r="D96" s="22" t="str">
        <f>IF($L96="","",IF($C96&gt;$M96,"EOF",IFERROR(VALUE(TRIM(MID(SUBSTITUTE(INDEX('Packet Builder'!$P$5:$P$34,$L96),",",REPT(" ",LEN(INDEX('Packet Builder'!$P$5:$P$34,$L96)))),($C96-1)*LEN(INDEX('Packet Builder'!$P$5:$P$34,$L96))+1,LEN(INDEX('Packet Builder'!$P$5:$P$34,$L96))))),"ERR")))</f>
        <v/>
      </c>
      <c r="E96" s="21" t="str">
        <f>IF($L96="","",IF($C96&gt;$M96,"End of Frame Delimiter",IFERROR(INDEX(Fields!$B$5:$B$48,MATCH($D96,Fields!$A$5:$A$48,0)),"MISSING")))</f>
        <v/>
      </c>
      <c r="F96" s="22" t="str">
        <f>IF($L96="","",SUMIF($L$5:L96,L96,$G$5:G96)-G96)</f>
        <v/>
      </c>
      <c r="G96" s="22" t="str">
        <f>IF($L96="","",IF($C96&gt;$M96,Overview!$B$26,IFERROR(INDEX(Fields!$F$5:$F$48,MATCH($D96,Fields!$A$5:$A$48,0)),0)))</f>
        <v/>
      </c>
      <c r="H96" s="22" t="str">
        <f t="shared" si="1"/>
        <v/>
      </c>
      <c r="I96" s="21" t="str">
        <f>IF($L96="","",IF($C96&gt;$M96,IF(Overview!$B$26=1,"uint8","uint8["&amp;Overview!$B$26&amp;"]"),IFERROR(INDEX(Fields!$E$5:$E$48,MATCH($D96,Fields!$A$5:$A$48,0)),"MISSING")))</f>
        <v/>
      </c>
      <c r="J96" s="21" t="str">
        <f>IF($L96="","",IF($C96&gt;$M96,"Fixed end-of-frame delimiter, value "&amp;Overview!$B$25&amp;".",IFERROR(INDEX(Fields!$G$5:$G$48,MATCH($D96,Fields!$A$5:$A$48,0)),"MISSING")))</f>
        <v/>
      </c>
      <c r="K96" s="21" t="str">
        <f>IF($L96="","",IF($C96&gt;$M96,"n/a",IFERROR(INDEX(Fields!$H$5:$H$48,MATCH($D96,Fields!$A$5:$A$48,0)),"MISSING")))</f>
        <v/>
      </c>
      <c r="L96" s="23" t="str">
        <f>IF(ROWS($L$5:L96)&gt;MAX('Packet Builder'!$O$5:$O$34),"",COUNTIF('Packet Builder'!$O$5:$O$34,"&lt;"&amp;ROWS($L$5:L96))+1)</f>
        <v/>
      </c>
      <c r="M96" s="23" t="str">
        <f>IF($L96="","",INDEX('Packet Builder'!$F$5:$F$34,$L96))</f>
        <v/>
      </c>
    </row>
    <row r="97" spans="1:13" x14ac:dyDescent="0.35">
      <c r="A97" s="21" t="str">
        <f>IF($L97="","",INDEX('Packet Builder'!$A$5:$A$34,$L97))</f>
        <v/>
      </c>
      <c r="B97" s="21" t="str">
        <f>IF($L97="","",INDEX('Packet Builder'!$B$5:$B$34,$L97))</f>
        <v/>
      </c>
      <c r="C97" s="22" t="str">
        <f>IF($L97="","",ROWS($L$5:L97)-(INDEX('Packet Builder'!$O$5:$O$34,$L97)-$M97-1))</f>
        <v/>
      </c>
      <c r="D97" s="22" t="str">
        <f>IF($L97="","",IF($C97&gt;$M97,"EOF",IFERROR(VALUE(TRIM(MID(SUBSTITUTE(INDEX('Packet Builder'!$P$5:$P$34,$L97),",",REPT(" ",LEN(INDEX('Packet Builder'!$P$5:$P$34,$L97)))),($C97-1)*LEN(INDEX('Packet Builder'!$P$5:$P$34,$L97))+1,LEN(INDEX('Packet Builder'!$P$5:$P$34,$L97))))),"ERR")))</f>
        <v/>
      </c>
      <c r="E97" s="21" t="str">
        <f>IF($L97="","",IF($C97&gt;$M97,"End of Frame Delimiter",IFERROR(INDEX(Fields!$B$5:$B$48,MATCH($D97,Fields!$A$5:$A$48,0)),"MISSING")))</f>
        <v/>
      </c>
      <c r="F97" s="22" t="str">
        <f>IF($L97="","",SUMIF($L$5:L97,L97,$G$5:G97)-G97)</f>
        <v/>
      </c>
      <c r="G97" s="22" t="str">
        <f>IF($L97="","",IF($C97&gt;$M97,Overview!$B$26,IFERROR(INDEX(Fields!$F$5:$F$48,MATCH($D97,Fields!$A$5:$A$48,0)),0)))</f>
        <v/>
      </c>
      <c r="H97" s="22" t="str">
        <f t="shared" si="1"/>
        <v/>
      </c>
      <c r="I97" s="21" t="str">
        <f>IF($L97="","",IF($C97&gt;$M97,IF(Overview!$B$26=1,"uint8","uint8["&amp;Overview!$B$26&amp;"]"),IFERROR(INDEX(Fields!$E$5:$E$48,MATCH($D97,Fields!$A$5:$A$48,0)),"MISSING")))</f>
        <v/>
      </c>
      <c r="J97" s="21" t="str">
        <f>IF($L97="","",IF($C97&gt;$M97,"Fixed end-of-frame delimiter, value "&amp;Overview!$B$25&amp;".",IFERROR(INDEX(Fields!$G$5:$G$48,MATCH($D97,Fields!$A$5:$A$48,0)),"MISSING")))</f>
        <v/>
      </c>
      <c r="K97" s="21" t="str">
        <f>IF($L97="","",IF($C97&gt;$M97,"n/a",IFERROR(INDEX(Fields!$H$5:$H$48,MATCH($D97,Fields!$A$5:$A$48,0)),"MISSING")))</f>
        <v/>
      </c>
      <c r="L97" s="23" t="str">
        <f>IF(ROWS($L$5:L97)&gt;MAX('Packet Builder'!$O$5:$O$34),"",COUNTIF('Packet Builder'!$O$5:$O$34,"&lt;"&amp;ROWS($L$5:L97))+1)</f>
        <v/>
      </c>
      <c r="M97" s="23" t="str">
        <f>IF($L97="","",INDEX('Packet Builder'!$F$5:$F$34,$L97))</f>
        <v/>
      </c>
    </row>
    <row r="98" spans="1:13" x14ac:dyDescent="0.35">
      <c r="A98" s="21" t="str">
        <f>IF($L98="","",INDEX('Packet Builder'!$A$5:$A$34,$L98))</f>
        <v/>
      </c>
      <c r="B98" s="21" t="str">
        <f>IF($L98="","",INDEX('Packet Builder'!$B$5:$B$34,$L98))</f>
        <v/>
      </c>
      <c r="C98" s="22" t="str">
        <f>IF($L98="","",ROWS($L$5:L98)-(INDEX('Packet Builder'!$O$5:$O$34,$L98)-$M98-1))</f>
        <v/>
      </c>
      <c r="D98" s="22" t="str">
        <f>IF($L98="","",IF($C98&gt;$M98,"EOF",IFERROR(VALUE(TRIM(MID(SUBSTITUTE(INDEX('Packet Builder'!$P$5:$P$34,$L98),",",REPT(" ",LEN(INDEX('Packet Builder'!$P$5:$P$34,$L98)))),($C98-1)*LEN(INDEX('Packet Builder'!$P$5:$P$34,$L98))+1,LEN(INDEX('Packet Builder'!$P$5:$P$34,$L98))))),"ERR")))</f>
        <v/>
      </c>
      <c r="E98" s="21" t="str">
        <f>IF($L98="","",IF($C98&gt;$M98,"End of Frame Delimiter",IFERROR(INDEX(Fields!$B$5:$B$48,MATCH($D98,Fields!$A$5:$A$48,0)),"MISSING")))</f>
        <v/>
      </c>
      <c r="F98" s="22" t="str">
        <f>IF($L98="","",SUMIF($L$5:L98,L98,$G$5:G98)-G98)</f>
        <v/>
      </c>
      <c r="G98" s="22" t="str">
        <f>IF($L98="","",IF($C98&gt;$M98,Overview!$B$26,IFERROR(INDEX(Fields!$F$5:$F$48,MATCH($D98,Fields!$A$5:$A$48,0)),0)))</f>
        <v/>
      </c>
      <c r="H98" s="22" t="str">
        <f t="shared" si="1"/>
        <v/>
      </c>
      <c r="I98" s="21" t="str">
        <f>IF($L98="","",IF($C98&gt;$M98,IF(Overview!$B$26=1,"uint8","uint8["&amp;Overview!$B$26&amp;"]"),IFERROR(INDEX(Fields!$E$5:$E$48,MATCH($D98,Fields!$A$5:$A$48,0)),"MISSING")))</f>
        <v/>
      </c>
      <c r="J98" s="21" t="str">
        <f>IF($L98="","",IF($C98&gt;$M98,"Fixed end-of-frame delimiter, value "&amp;Overview!$B$25&amp;".",IFERROR(INDEX(Fields!$G$5:$G$48,MATCH($D98,Fields!$A$5:$A$48,0)),"MISSING")))</f>
        <v/>
      </c>
      <c r="K98" s="21" t="str">
        <f>IF($L98="","",IF($C98&gt;$M98,"n/a",IFERROR(INDEX(Fields!$H$5:$H$48,MATCH($D98,Fields!$A$5:$A$48,0)),"MISSING")))</f>
        <v/>
      </c>
      <c r="L98" s="23" t="str">
        <f>IF(ROWS($L$5:L98)&gt;MAX('Packet Builder'!$O$5:$O$34),"",COUNTIF('Packet Builder'!$O$5:$O$34,"&lt;"&amp;ROWS($L$5:L98))+1)</f>
        <v/>
      </c>
      <c r="M98" s="23" t="str">
        <f>IF($L98="","",INDEX('Packet Builder'!$F$5:$F$34,$L98))</f>
        <v/>
      </c>
    </row>
    <row r="99" spans="1:13" x14ac:dyDescent="0.35">
      <c r="A99" s="21" t="str">
        <f>IF($L99="","",INDEX('Packet Builder'!$A$5:$A$34,$L99))</f>
        <v/>
      </c>
      <c r="B99" s="21" t="str">
        <f>IF($L99="","",INDEX('Packet Builder'!$B$5:$B$34,$L99))</f>
        <v/>
      </c>
      <c r="C99" s="22" t="str">
        <f>IF($L99="","",ROWS($L$5:L99)-(INDEX('Packet Builder'!$O$5:$O$34,$L99)-$M99-1))</f>
        <v/>
      </c>
      <c r="D99" s="22" t="str">
        <f>IF($L99="","",IF($C99&gt;$M99,"EOF",IFERROR(VALUE(TRIM(MID(SUBSTITUTE(INDEX('Packet Builder'!$P$5:$P$34,$L99),",",REPT(" ",LEN(INDEX('Packet Builder'!$P$5:$P$34,$L99)))),($C99-1)*LEN(INDEX('Packet Builder'!$P$5:$P$34,$L99))+1,LEN(INDEX('Packet Builder'!$P$5:$P$34,$L99))))),"ERR")))</f>
        <v/>
      </c>
      <c r="E99" s="21" t="str">
        <f>IF($L99="","",IF($C99&gt;$M99,"End of Frame Delimiter",IFERROR(INDEX(Fields!$B$5:$B$48,MATCH($D99,Fields!$A$5:$A$48,0)),"MISSING")))</f>
        <v/>
      </c>
      <c r="F99" s="22" t="str">
        <f>IF($L99="","",SUMIF($L$5:L99,L99,$G$5:G99)-G99)</f>
        <v/>
      </c>
      <c r="G99" s="22" t="str">
        <f>IF($L99="","",IF($C99&gt;$M99,Overview!$B$26,IFERROR(INDEX(Fields!$F$5:$F$48,MATCH($D99,Fields!$A$5:$A$48,0)),0)))</f>
        <v/>
      </c>
      <c r="H99" s="22" t="str">
        <f t="shared" si="1"/>
        <v/>
      </c>
      <c r="I99" s="21" t="str">
        <f>IF($L99="","",IF($C99&gt;$M99,IF(Overview!$B$26=1,"uint8","uint8["&amp;Overview!$B$26&amp;"]"),IFERROR(INDEX(Fields!$E$5:$E$48,MATCH($D99,Fields!$A$5:$A$48,0)),"MISSING")))</f>
        <v/>
      </c>
      <c r="J99" s="21" t="str">
        <f>IF($L99="","",IF($C99&gt;$M99,"Fixed end-of-frame delimiter, value "&amp;Overview!$B$25&amp;".",IFERROR(INDEX(Fields!$G$5:$G$48,MATCH($D99,Fields!$A$5:$A$48,0)),"MISSING")))</f>
        <v/>
      </c>
      <c r="K99" s="21" t="str">
        <f>IF($L99="","",IF($C99&gt;$M99,"n/a",IFERROR(INDEX(Fields!$H$5:$H$48,MATCH($D99,Fields!$A$5:$A$48,0)),"MISSING")))</f>
        <v/>
      </c>
      <c r="L99" s="23" t="str">
        <f>IF(ROWS($L$5:L99)&gt;MAX('Packet Builder'!$O$5:$O$34),"",COUNTIF('Packet Builder'!$O$5:$O$34,"&lt;"&amp;ROWS($L$5:L99))+1)</f>
        <v/>
      </c>
      <c r="M99" s="23" t="str">
        <f>IF($L99="","",INDEX('Packet Builder'!$F$5:$F$34,$L99))</f>
        <v/>
      </c>
    </row>
    <row r="100" spans="1:13" x14ac:dyDescent="0.35">
      <c r="A100" s="21" t="str">
        <f>IF($L100="","",INDEX('Packet Builder'!$A$5:$A$34,$L100))</f>
        <v/>
      </c>
      <c r="B100" s="21" t="str">
        <f>IF($L100="","",INDEX('Packet Builder'!$B$5:$B$34,$L100))</f>
        <v/>
      </c>
      <c r="C100" s="22" t="str">
        <f>IF($L100="","",ROWS($L$5:L100)-(INDEX('Packet Builder'!$O$5:$O$34,$L100)-$M100-1))</f>
        <v/>
      </c>
      <c r="D100" s="22" t="str">
        <f>IF($L100="","",IF($C100&gt;$M100,"EOF",IFERROR(VALUE(TRIM(MID(SUBSTITUTE(INDEX('Packet Builder'!$P$5:$P$34,$L100),",",REPT(" ",LEN(INDEX('Packet Builder'!$P$5:$P$34,$L100)))),($C100-1)*LEN(INDEX('Packet Builder'!$P$5:$P$34,$L100))+1,LEN(INDEX('Packet Builder'!$P$5:$P$34,$L100))))),"ERR")))</f>
        <v/>
      </c>
      <c r="E100" s="21" t="str">
        <f>IF($L100="","",IF($C100&gt;$M100,"End of Frame Delimiter",IFERROR(INDEX(Fields!$B$5:$B$48,MATCH($D100,Fields!$A$5:$A$48,0)),"MISSING")))</f>
        <v/>
      </c>
      <c r="F100" s="22" t="str">
        <f>IF($L100="","",SUMIF($L$5:L100,L100,$G$5:G100)-G100)</f>
        <v/>
      </c>
      <c r="G100" s="22" t="str">
        <f>IF($L100="","",IF($C100&gt;$M100,Overview!$B$26,IFERROR(INDEX(Fields!$F$5:$F$48,MATCH($D100,Fields!$A$5:$A$48,0)),0)))</f>
        <v/>
      </c>
      <c r="H100" s="22" t="str">
        <f t="shared" si="1"/>
        <v/>
      </c>
      <c r="I100" s="21" t="str">
        <f>IF($L100="","",IF($C100&gt;$M100,IF(Overview!$B$26=1,"uint8","uint8["&amp;Overview!$B$26&amp;"]"),IFERROR(INDEX(Fields!$E$5:$E$48,MATCH($D100,Fields!$A$5:$A$48,0)),"MISSING")))</f>
        <v/>
      </c>
      <c r="J100" s="21" t="str">
        <f>IF($L100="","",IF($C100&gt;$M100,"Fixed end-of-frame delimiter, value "&amp;Overview!$B$25&amp;".",IFERROR(INDEX(Fields!$G$5:$G$48,MATCH($D100,Fields!$A$5:$A$48,0)),"MISSING")))</f>
        <v/>
      </c>
      <c r="K100" s="21" t="str">
        <f>IF($L100="","",IF($C100&gt;$M100,"n/a",IFERROR(INDEX(Fields!$H$5:$H$48,MATCH($D100,Fields!$A$5:$A$48,0)),"MISSING")))</f>
        <v/>
      </c>
      <c r="L100" s="23" t="str">
        <f>IF(ROWS($L$5:L100)&gt;MAX('Packet Builder'!$O$5:$O$34),"",COUNTIF('Packet Builder'!$O$5:$O$34,"&lt;"&amp;ROWS($L$5:L100))+1)</f>
        <v/>
      </c>
      <c r="M100" s="23" t="str">
        <f>IF($L100="","",INDEX('Packet Builder'!$F$5:$F$34,$L100))</f>
        <v/>
      </c>
    </row>
    <row r="101" spans="1:13" x14ac:dyDescent="0.35">
      <c r="A101" s="21" t="str">
        <f>IF($L101="","",INDEX('Packet Builder'!$A$5:$A$34,$L101))</f>
        <v/>
      </c>
      <c r="B101" s="21" t="str">
        <f>IF($L101="","",INDEX('Packet Builder'!$B$5:$B$34,$L101))</f>
        <v/>
      </c>
      <c r="C101" s="22" t="str">
        <f>IF($L101="","",ROWS($L$5:L101)-(INDEX('Packet Builder'!$O$5:$O$34,$L101)-$M101-1))</f>
        <v/>
      </c>
      <c r="D101" s="22" t="str">
        <f>IF($L101="","",IF($C101&gt;$M101,"EOF",IFERROR(VALUE(TRIM(MID(SUBSTITUTE(INDEX('Packet Builder'!$P$5:$P$34,$L101),",",REPT(" ",LEN(INDEX('Packet Builder'!$P$5:$P$34,$L101)))),($C101-1)*LEN(INDEX('Packet Builder'!$P$5:$P$34,$L101))+1,LEN(INDEX('Packet Builder'!$P$5:$P$34,$L101))))),"ERR")))</f>
        <v/>
      </c>
      <c r="E101" s="21" t="str">
        <f>IF($L101="","",IF($C101&gt;$M101,"End of Frame Delimiter",IFERROR(INDEX(Fields!$B$5:$B$48,MATCH($D101,Fields!$A$5:$A$48,0)),"MISSING")))</f>
        <v/>
      </c>
      <c r="F101" s="22" t="str">
        <f>IF($L101="","",SUMIF($L$5:L101,L101,$G$5:G101)-G101)</f>
        <v/>
      </c>
      <c r="G101" s="22" t="str">
        <f>IF($L101="","",IF($C101&gt;$M101,Overview!$B$26,IFERROR(INDEX(Fields!$F$5:$F$48,MATCH($D101,Fields!$A$5:$A$48,0)),0)))</f>
        <v/>
      </c>
      <c r="H101" s="22" t="str">
        <f t="shared" si="1"/>
        <v/>
      </c>
      <c r="I101" s="21" t="str">
        <f>IF($L101="","",IF($C101&gt;$M101,IF(Overview!$B$26=1,"uint8","uint8["&amp;Overview!$B$26&amp;"]"),IFERROR(INDEX(Fields!$E$5:$E$48,MATCH($D101,Fields!$A$5:$A$48,0)),"MISSING")))</f>
        <v/>
      </c>
      <c r="J101" s="21" t="str">
        <f>IF($L101="","",IF($C101&gt;$M101,"Fixed end-of-frame delimiter, value "&amp;Overview!$B$25&amp;".",IFERROR(INDEX(Fields!$G$5:$G$48,MATCH($D101,Fields!$A$5:$A$48,0)),"MISSING")))</f>
        <v/>
      </c>
      <c r="K101" s="21" t="str">
        <f>IF($L101="","",IF($C101&gt;$M101,"n/a",IFERROR(INDEX(Fields!$H$5:$H$48,MATCH($D101,Fields!$A$5:$A$48,0)),"MISSING")))</f>
        <v/>
      </c>
      <c r="L101" s="23" t="str">
        <f>IF(ROWS($L$5:L101)&gt;MAX('Packet Builder'!$O$5:$O$34),"",COUNTIF('Packet Builder'!$O$5:$O$34,"&lt;"&amp;ROWS($L$5:L101))+1)</f>
        <v/>
      </c>
      <c r="M101" s="23" t="str">
        <f>IF($L101="","",INDEX('Packet Builder'!$F$5:$F$34,$L101))</f>
        <v/>
      </c>
    </row>
    <row r="102" spans="1:13" x14ac:dyDescent="0.35">
      <c r="A102" s="21" t="str">
        <f>IF($L102="","",INDEX('Packet Builder'!$A$5:$A$34,$L102))</f>
        <v/>
      </c>
      <c r="B102" s="21" t="str">
        <f>IF($L102="","",INDEX('Packet Builder'!$B$5:$B$34,$L102))</f>
        <v/>
      </c>
      <c r="C102" s="22" t="str">
        <f>IF($L102="","",ROWS($L$5:L102)-(INDEX('Packet Builder'!$O$5:$O$34,$L102)-$M102-1))</f>
        <v/>
      </c>
      <c r="D102" s="22" t="str">
        <f>IF($L102="","",IF($C102&gt;$M102,"EOF",IFERROR(VALUE(TRIM(MID(SUBSTITUTE(INDEX('Packet Builder'!$P$5:$P$34,$L102),",",REPT(" ",LEN(INDEX('Packet Builder'!$P$5:$P$34,$L102)))),($C102-1)*LEN(INDEX('Packet Builder'!$P$5:$P$34,$L102))+1,LEN(INDEX('Packet Builder'!$P$5:$P$34,$L102))))),"ERR")))</f>
        <v/>
      </c>
      <c r="E102" s="21" t="str">
        <f>IF($L102="","",IF($C102&gt;$M102,"End of Frame Delimiter",IFERROR(INDEX(Fields!$B$5:$B$48,MATCH($D102,Fields!$A$5:$A$48,0)),"MISSING")))</f>
        <v/>
      </c>
      <c r="F102" s="22" t="str">
        <f>IF($L102="","",SUMIF($L$5:L102,L102,$G$5:G102)-G102)</f>
        <v/>
      </c>
      <c r="G102" s="22" t="str">
        <f>IF($L102="","",IF($C102&gt;$M102,Overview!$B$26,IFERROR(INDEX(Fields!$F$5:$F$48,MATCH($D102,Fields!$A$5:$A$48,0)),0)))</f>
        <v/>
      </c>
      <c r="H102" s="22" t="str">
        <f t="shared" si="1"/>
        <v/>
      </c>
      <c r="I102" s="21" t="str">
        <f>IF($L102="","",IF($C102&gt;$M102,IF(Overview!$B$26=1,"uint8","uint8["&amp;Overview!$B$26&amp;"]"),IFERROR(INDEX(Fields!$E$5:$E$48,MATCH($D102,Fields!$A$5:$A$48,0)),"MISSING")))</f>
        <v/>
      </c>
      <c r="J102" s="21" t="str">
        <f>IF($L102="","",IF($C102&gt;$M102,"Fixed end-of-frame delimiter, value "&amp;Overview!$B$25&amp;".",IFERROR(INDEX(Fields!$G$5:$G$48,MATCH($D102,Fields!$A$5:$A$48,0)),"MISSING")))</f>
        <v/>
      </c>
      <c r="K102" s="21" t="str">
        <f>IF($L102="","",IF($C102&gt;$M102,"n/a",IFERROR(INDEX(Fields!$H$5:$H$48,MATCH($D102,Fields!$A$5:$A$48,0)),"MISSING")))</f>
        <v/>
      </c>
      <c r="L102" s="23" t="str">
        <f>IF(ROWS($L$5:L102)&gt;MAX('Packet Builder'!$O$5:$O$34),"",COUNTIF('Packet Builder'!$O$5:$O$34,"&lt;"&amp;ROWS($L$5:L102))+1)</f>
        <v/>
      </c>
      <c r="M102" s="23" t="str">
        <f>IF($L102="","",INDEX('Packet Builder'!$F$5:$F$34,$L102))</f>
        <v/>
      </c>
    </row>
    <row r="103" spans="1:13" x14ac:dyDescent="0.35">
      <c r="A103" s="21" t="str">
        <f>IF($L103="","",INDEX('Packet Builder'!$A$5:$A$34,$L103))</f>
        <v/>
      </c>
      <c r="B103" s="21" t="str">
        <f>IF($L103="","",INDEX('Packet Builder'!$B$5:$B$34,$L103))</f>
        <v/>
      </c>
      <c r="C103" s="22" t="str">
        <f>IF($L103="","",ROWS($L$5:L103)-(INDEX('Packet Builder'!$O$5:$O$34,$L103)-$M103-1))</f>
        <v/>
      </c>
      <c r="D103" s="22" t="str">
        <f>IF($L103="","",IF($C103&gt;$M103,"EOF",IFERROR(VALUE(TRIM(MID(SUBSTITUTE(INDEX('Packet Builder'!$P$5:$P$34,$L103),",",REPT(" ",LEN(INDEX('Packet Builder'!$P$5:$P$34,$L103)))),($C103-1)*LEN(INDEX('Packet Builder'!$P$5:$P$34,$L103))+1,LEN(INDEX('Packet Builder'!$P$5:$P$34,$L103))))),"ERR")))</f>
        <v/>
      </c>
      <c r="E103" s="21" t="str">
        <f>IF($L103="","",IF($C103&gt;$M103,"End of Frame Delimiter",IFERROR(INDEX(Fields!$B$5:$B$48,MATCH($D103,Fields!$A$5:$A$48,0)),"MISSING")))</f>
        <v/>
      </c>
      <c r="F103" s="22" t="str">
        <f>IF($L103="","",SUMIF($L$5:L103,L103,$G$5:G103)-G103)</f>
        <v/>
      </c>
      <c r="G103" s="22" t="str">
        <f>IF($L103="","",IF($C103&gt;$M103,Overview!$B$26,IFERROR(INDEX(Fields!$F$5:$F$48,MATCH($D103,Fields!$A$5:$A$48,0)),0)))</f>
        <v/>
      </c>
      <c r="H103" s="22" t="str">
        <f t="shared" si="1"/>
        <v/>
      </c>
      <c r="I103" s="21" t="str">
        <f>IF($L103="","",IF($C103&gt;$M103,IF(Overview!$B$26=1,"uint8","uint8["&amp;Overview!$B$26&amp;"]"),IFERROR(INDEX(Fields!$E$5:$E$48,MATCH($D103,Fields!$A$5:$A$48,0)),"MISSING")))</f>
        <v/>
      </c>
      <c r="J103" s="21" t="str">
        <f>IF($L103="","",IF($C103&gt;$M103,"Fixed end-of-frame delimiter, value "&amp;Overview!$B$25&amp;".",IFERROR(INDEX(Fields!$G$5:$G$48,MATCH($D103,Fields!$A$5:$A$48,0)),"MISSING")))</f>
        <v/>
      </c>
      <c r="K103" s="21" t="str">
        <f>IF($L103="","",IF($C103&gt;$M103,"n/a",IFERROR(INDEX(Fields!$H$5:$H$48,MATCH($D103,Fields!$A$5:$A$48,0)),"MISSING")))</f>
        <v/>
      </c>
      <c r="L103" s="23" t="str">
        <f>IF(ROWS($L$5:L103)&gt;MAX('Packet Builder'!$O$5:$O$34),"",COUNTIF('Packet Builder'!$O$5:$O$34,"&lt;"&amp;ROWS($L$5:L103))+1)</f>
        <v/>
      </c>
      <c r="M103" s="23" t="str">
        <f>IF($L103="","",INDEX('Packet Builder'!$F$5:$F$34,$L103))</f>
        <v/>
      </c>
    </row>
    <row r="104" spans="1:13" x14ac:dyDescent="0.35">
      <c r="A104" s="21" t="str">
        <f>IF($L104="","",INDEX('Packet Builder'!$A$5:$A$34,$L104))</f>
        <v/>
      </c>
      <c r="B104" s="21" t="str">
        <f>IF($L104="","",INDEX('Packet Builder'!$B$5:$B$34,$L104))</f>
        <v/>
      </c>
      <c r="C104" s="22" t="str">
        <f>IF($L104="","",ROWS($L$5:L104)-(INDEX('Packet Builder'!$O$5:$O$34,$L104)-$M104-1))</f>
        <v/>
      </c>
      <c r="D104" s="22" t="str">
        <f>IF($L104="","",IF($C104&gt;$M104,"EOF",IFERROR(VALUE(TRIM(MID(SUBSTITUTE(INDEX('Packet Builder'!$P$5:$P$34,$L104),",",REPT(" ",LEN(INDEX('Packet Builder'!$P$5:$P$34,$L104)))),($C104-1)*LEN(INDEX('Packet Builder'!$P$5:$P$34,$L104))+1,LEN(INDEX('Packet Builder'!$P$5:$P$34,$L104))))),"ERR")))</f>
        <v/>
      </c>
      <c r="E104" s="21" t="str">
        <f>IF($L104="","",IF($C104&gt;$M104,"End of Frame Delimiter",IFERROR(INDEX(Fields!$B$5:$B$48,MATCH($D104,Fields!$A$5:$A$48,0)),"MISSING")))</f>
        <v/>
      </c>
      <c r="F104" s="22" t="str">
        <f>IF($L104="","",SUMIF($L$5:L104,L104,$G$5:G104)-G104)</f>
        <v/>
      </c>
      <c r="G104" s="22" t="str">
        <f>IF($L104="","",IF($C104&gt;$M104,Overview!$B$26,IFERROR(INDEX(Fields!$F$5:$F$48,MATCH($D104,Fields!$A$5:$A$48,0)),0)))</f>
        <v/>
      </c>
      <c r="H104" s="22" t="str">
        <f t="shared" si="1"/>
        <v/>
      </c>
      <c r="I104" s="21" t="str">
        <f>IF($L104="","",IF($C104&gt;$M104,IF(Overview!$B$26=1,"uint8","uint8["&amp;Overview!$B$26&amp;"]"),IFERROR(INDEX(Fields!$E$5:$E$48,MATCH($D104,Fields!$A$5:$A$48,0)),"MISSING")))</f>
        <v/>
      </c>
      <c r="J104" s="21" t="str">
        <f>IF($L104="","",IF($C104&gt;$M104,"Fixed end-of-frame delimiter, value "&amp;Overview!$B$25&amp;".",IFERROR(INDEX(Fields!$G$5:$G$48,MATCH($D104,Fields!$A$5:$A$48,0)),"MISSING")))</f>
        <v/>
      </c>
      <c r="K104" s="21" t="str">
        <f>IF($L104="","",IF($C104&gt;$M104,"n/a",IFERROR(INDEX(Fields!$H$5:$H$48,MATCH($D104,Fields!$A$5:$A$48,0)),"MISSING")))</f>
        <v/>
      </c>
      <c r="L104" s="23" t="str">
        <f>IF(ROWS($L$5:L104)&gt;MAX('Packet Builder'!$O$5:$O$34),"",COUNTIF('Packet Builder'!$O$5:$O$34,"&lt;"&amp;ROWS($L$5:L104))+1)</f>
        <v/>
      </c>
      <c r="M104" s="23" t="str">
        <f>IF($L104="","",INDEX('Packet Builder'!$F$5:$F$34,$L104))</f>
        <v/>
      </c>
    </row>
    <row r="105" spans="1:13" x14ac:dyDescent="0.35">
      <c r="A105" s="21" t="str">
        <f>IF($L105="","",INDEX('Packet Builder'!$A$5:$A$34,$L105))</f>
        <v/>
      </c>
      <c r="B105" s="21" t="str">
        <f>IF($L105="","",INDEX('Packet Builder'!$B$5:$B$34,$L105))</f>
        <v/>
      </c>
      <c r="C105" s="22" t="str">
        <f>IF($L105="","",ROWS($L$5:L105)-(INDEX('Packet Builder'!$O$5:$O$34,$L105)-$M105-1))</f>
        <v/>
      </c>
      <c r="D105" s="22" t="str">
        <f>IF($L105="","",IF($C105&gt;$M105,"EOF",IFERROR(VALUE(TRIM(MID(SUBSTITUTE(INDEX('Packet Builder'!$P$5:$P$34,$L105),",",REPT(" ",LEN(INDEX('Packet Builder'!$P$5:$P$34,$L105)))),($C105-1)*LEN(INDEX('Packet Builder'!$P$5:$P$34,$L105))+1,LEN(INDEX('Packet Builder'!$P$5:$P$34,$L105))))),"ERR")))</f>
        <v/>
      </c>
      <c r="E105" s="21" t="str">
        <f>IF($L105="","",IF($C105&gt;$M105,"End of Frame Delimiter",IFERROR(INDEX(Fields!$B$5:$B$48,MATCH($D105,Fields!$A$5:$A$48,0)),"MISSING")))</f>
        <v/>
      </c>
      <c r="F105" s="22" t="str">
        <f>IF($L105="","",SUMIF($L$5:L105,L105,$G$5:G105)-G105)</f>
        <v/>
      </c>
      <c r="G105" s="22" t="str">
        <f>IF($L105="","",IF($C105&gt;$M105,Overview!$B$26,IFERROR(INDEX(Fields!$F$5:$F$48,MATCH($D105,Fields!$A$5:$A$48,0)),0)))</f>
        <v/>
      </c>
      <c r="H105" s="22" t="str">
        <f t="shared" si="1"/>
        <v/>
      </c>
      <c r="I105" s="21" t="str">
        <f>IF($L105="","",IF($C105&gt;$M105,IF(Overview!$B$26=1,"uint8","uint8["&amp;Overview!$B$26&amp;"]"),IFERROR(INDEX(Fields!$E$5:$E$48,MATCH($D105,Fields!$A$5:$A$48,0)),"MISSING")))</f>
        <v/>
      </c>
      <c r="J105" s="21" t="str">
        <f>IF($L105="","",IF($C105&gt;$M105,"Fixed end-of-frame delimiter, value "&amp;Overview!$B$25&amp;".",IFERROR(INDEX(Fields!$G$5:$G$48,MATCH($D105,Fields!$A$5:$A$48,0)),"MISSING")))</f>
        <v/>
      </c>
      <c r="K105" s="21" t="str">
        <f>IF($L105="","",IF($C105&gt;$M105,"n/a",IFERROR(INDEX(Fields!$H$5:$H$48,MATCH($D105,Fields!$A$5:$A$48,0)),"MISSING")))</f>
        <v/>
      </c>
      <c r="L105" s="23" t="str">
        <f>IF(ROWS($L$5:L105)&gt;MAX('Packet Builder'!$O$5:$O$34),"",COUNTIF('Packet Builder'!$O$5:$O$34,"&lt;"&amp;ROWS($L$5:L105))+1)</f>
        <v/>
      </c>
      <c r="M105" s="23" t="str">
        <f>IF($L105="","",INDEX('Packet Builder'!$F$5:$F$34,$L105))</f>
        <v/>
      </c>
    </row>
    <row r="106" spans="1:13" x14ac:dyDescent="0.35">
      <c r="A106" s="21" t="str">
        <f>IF($L106="","",INDEX('Packet Builder'!$A$5:$A$34,$L106))</f>
        <v/>
      </c>
      <c r="B106" s="21" t="str">
        <f>IF($L106="","",INDEX('Packet Builder'!$B$5:$B$34,$L106))</f>
        <v/>
      </c>
      <c r="C106" s="22" t="str">
        <f>IF($L106="","",ROWS($L$5:L106)-(INDEX('Packet Builder'!$O$5:$O$34,$L106)-$M106-1))</f>
        <v/>
      </c>
      <c r="D106" s="22" t="str">
        <f>IF($L106="","",IF($C106&gt;$M106,"EOF",IFERROR(VALUE(TRIM(MID(SUBSTITUTE(INDEX('Packet Builder'!$P$5:$P$34,$L106),",",REPT(" ",LEN(INDEX('Packet Builder'!$P$5:$P$34,$L106)))),($C106-1)*LEN(INDEX('Packet Builder'!$P$5:$P$34,$L106))+1,LEN(INDEX('Packet Builder'!$P$5:$P$34,$L106))))),"ERR")))</f>
        <v/>
      </c>
      <c r="E106" s="21" t="str">
        <f>IF($L106="","",IF($C106&gt;$M106,"End of Frame Delimiter",IFERROR(INDEX(Fields!$B$5:$B$48,MATCH($D106,Fields!$A$5:$A$48,0)),"MISSING")))</f>
        <v/>
      </c>
      <c r="F106" s="22" t="str">
        <f>IF($L106="","",SUMIF($L$5:L106,L106,$G$5:G106)-G106)</f>
        <v/>
      </c>
      <c r="G106" s="22" t="str">
        <f>IF($L106="","",IF($C106&gt;$M106,Overview!$B$26,IFERROR(INDEX(Fields!$F$5:$F$48,MATCH($D106,Fields!$A$5:$A$48,0)),0)))</f>
        <v/>
      </c>
      <c r="H106" s="22" t="str">
        <f t="shared" si="1"/>
        <v/>
      </c>
      <c r="I106" s="21" t="str">
        <f>IF($L106="","",IF($C106&gt;$M106,IF(Overview!$B$26=1,"uint8","uint8["&amp;Overview!$B$26&amp;"]"),IFERROR(INDEX(Fields!$E$5:$E$48,MATCH($D106,Fields!$A$5:$A$48,0)),"MISSING")))</f>
        <v/>
      </c>
      <c r="J106" s="21" t="str">
        <f>IF($L106="","",IF($C106&gt;$M106,"Fixed end-of-frame delimiter, value "&amp;Overview!$B$25&amp;".",IFERROR(INDEX(Fields!$G$5:$G$48,MATCH($D106,Fields!$A$5:$A$48,0)),"MISSING")))</f>
        <v/>
      </c>
      <c r="K106" s="21" t="str">
        <f>IF($L106="","",IF($C106&gt;$M106,"n/a",IFERROR(INDEX(Fields!$H$5:$H$48,MATCH($D106,Fields!$A$5:$A$48,0)),"MISSING")))</f>
        <v/>
      </c>
      <c r="L106" s="23" t="str">
        <f>IF(ROWS($L$5:L106)&gt;MAX('Packet Builder'!$O$5:$O$34),"",COUNTIF('Packet Builder'!$O$5:$O$34,"&lt;"&amp;ROWS($L$5:L106))+1)</f>
        <v/>
      </c>
      <c r="M106" s="23" t="str">
        <f>IF($L106="","",INDEX('Packet Builder'!$F$5:$F$34,$L106))</f>
        <v/>
      </c>
    </row>
    <row r="107" spans="1:13" x14ac:dyDescent="0.35">
      <c r="A107" s="21" t="str">
        <f>IF($L107="","",INDEX('Packet Builder'!$A$5:$A$34,$L107))</f>
        <v/>
      </c>
      <c r="B107" s="21" t="str">
        <f>IF($L107="","",INDEX('Packet Builder'!$B$5:$B$34,$L107))</f>
        <v/>
      </c>
      <c r="C107" s="22" t="str">
        <f>IF($L107="","",ROWS($L$5:L107)-(INDEX('Packet Builder'!$O$5:$O$34,$L107)-$M107-1))</f>
        <v/>
      </c>
      <c r="D107" s="22" t="str">
        <f>IF($L107="","",IF($C107&gt;$M107,"EOF",IFERROR(VALUE(TRIM(MID(SUBSTITUTE(INDEX('Packet Builder'!$P$5:$P$34,$L107),",",REPT(" ",LEN(INDEX('Packet Builder'!$P$5:$P$34,$L107)))),($C107-1)*LEN(INDEX('Packet Builder'!$P$5:$P$34,$L107))+1,LEN(INDEX('Packet Builder'!$P$5:$P$34,$L107))))),"ERR")))</f>
        <v/>
      </c>
      <c r="E107" s="21" t="str">
        <f>IF($L107="","",IF($C107&gt;$M107,"End of Frame Delimiter",IFERROR(INDEX(Fields!$B$5:$B$48,MATCH($D107,Fields!$A$5:$A$48,0)),"MISSING")))</f>
        <v/>
      </c>
      <c r="F107" s="22" t="str">
        <f>IF($L107="","",SUMIF($L$5:L107,L107,$G$5:G107)-G107)</f>
        <v/>
      </c>
      <c r="G107" s="22" t="str">
        <f>IF($L107="","",IF($C107&gt;$M107,Overview!$B$26,IFERROR(INDEX(Fields!$F$5:$F$48,MATCH($D107,Fields!$A$5:$A$48,0)),0)))</f>
        <v/>
      </c>
      <c r="H107" s="22" t="str">
        <f t="shared" si="1"/>
        <v/>
      </c>
      <c r="I107" s="21" t="str">
        <f>IF($L107="","",IF($C107&gt;$M107,IF(Overview!$B$26=1,"uint8","uint8["&amp;Overview!$B$26&amp;"]"),IFERROR(INDEX(Fields!$E$5:$E$48,MATCH($D107,Fields!$A$5:$A$48,0)),"MISSING")))</f>
        <v/>
      </c>
      <c r="J107" s="21" t="str">
        <f>IF($L107="","",IF($C107&gt;$M107,"Fixed end-of-frame delimiter, value "&amp;Overview!$B$25&amp;".",IFERROR(INDEX(Fields!$G$5:$G$48,MATCH($D107,Fields!$A$5:$A$48,0)),"MISSING")))</f>
        <v/>
      </c>
      <c r="K107" s="21" t="str">
        <f>IF($L107="","",IF($C107&gt;$M107,"n/a",IFERROR(INDEX(Fields!$H$5:$H$48,MATCH($D107,Fields!$A$5:$A$48,0)),"MISSING")))</f>
        <v/>
      </c>
      <c r="L107" s="23" t="str">
        <f>IF(ROWS($L$5:L107)&gt;MAX('Packet Builder'!$O$5:$O$34),"",COUNTIF('Packet Builder'!$O$5:$O$34,"&lt;"&amp;ROWS($L$5:L107))+1)</f>
        <v/>
      </c>
      <c r="M107" s="23" t="str">
        <f>IF($L107="","",INDEX('Packet Builder'!$F$5:$F$34,$L107))</f>
        <v/>
      </c>
    </row>
    <row r="108" spans="1:13" x14ac:dyDescent="0.35">
      <c r="A108" s="21" t="str">
        <f>IF($L108="","",INDEX('Packet Builder'!$A$5:$A$34,$L108))</f>
        <v/>
      </c>
      <c r="B108" s="21" t="str">
        <f>IF($L108="","",INDEX('Packet Builder'!$B$5:$B$34,$L108))</f>
        <v/>
      </c>
      <c r="C108" s="22" t="str">
        <f>IF($L108="","",ROWS($L$5:L108)-(INDEX('Packet Builder'!$O$5:$O$34,$L108)-$M108-1))</f>
        <v/>
      </c>
      <c r="D108" s="22" t="str">
        <f>IF($L108="","",IF($C108&gt;$M108,"EOF",IFERROR(VALUE(TRIM(MID(SUBSTITUTE(INDEX('Packet Builder'!$P$5:$P$34,$L108),",",REPT(" ",LEN(INDEX('Packet Builder'!$P$5:$P$34,$L108)))),($C108-1)*LEN(INDEX('Packet Builder'!$P$5:$P$34,$L108))+1,LEN(INDEX('Packet Builder'!$P$5:$P$34,$L108))))),"ERR")))</f>
        <v/>
      </c>
      <c r="E108" s="21" t="str">
        <f>IF($L108="","",IF($C108&gt;$M108,"End of Frame Delimiter",IFERROR(INDEX(Fields!$B$5:$B$48,MATCH($D108,Fields!$A$5:$A$48,0)),"MISSING")))</f>
        <v/>
      </c>
      <c r="F108" s="22" t="str">
        <f>IF($L108="","",SUMIF($L$5:L108,L108,$G$5:G108)-G108)</f>
        <v/>
      </c>
      <c r="G108" s="22" t="str">
        <f>IF($L108="","",IF($C108&gt;$M108,Overview!$B$26,IFERROR(INDEX(Fields!$F$5:$F$48,MATCH($D108,Fields!$A$5:$A$48,0)),0)))</f>
        <v/>
      </c>
      <c r="H108" s="22" t="str">
        <f t="shared" si="1"/>
        <v/>
      </c>
      <c r="I108" s="21" t="str">
        <f>IF($L108="","",IF($C108&gt;$M108,IF(Overview!$B$26=1,"uint8","uint8["&amp;Overview!$B$26&amp;"]"),IFERROR(INDEX(Fields!$E$5:$E$48,MATCH($D108,Fields!$A$5:$A$48,0)),"MISSING")))</f>
        <v/>
      </c>
      <c r="J108" s="21" t="str">
        <f>IF($L108="","",IF($C108&gt;$M108,"Fixed end-of-frame delimiter, value "&amp;Overview!$B$25&amp;".",IFERROR(INDEX(Fields!$G$5:$G$48,MATCH($D108,Fields!$A$5:$A$48,0)),"MISSING")))</f>
        <v/>
      </c>
      <c r="K108" s="21" t="str">
        <f>IF($L108="","",IF($C108&gt;$M108,"n/a",IFERROR(INDEX(Fields!$H$5:$H$48,MATCH($D108,Fields!$A$5:$A$48,0)),"MISSING")))</f>
        <v/>
      </c>
      <c r="L108" s="23" t="str">
        <f>IF(ROWS($L$5:L108)&gt;MAX('Packet Builder'!$O$5:$O$34),"",COUNTIF('Packet Builder'!$O$5:$O$34,"&lt;"&amp;ROWS($L$5:L108))+1)</f>
        <v/>
      </c>
      <c r="M108" s="23" t="str">
        <f>IF($L108="","",INDEX('Packet Builder'!$F$5:$F$34,$L108))</f>
        <v/>
      </c>
    </row>
    <row r="109" spans="1:13" x14ac:dyDescent="0.35">
      <c r="A109" s="21" t="str">
        <f>IF($L109="","",INDEX('Packet Builder'!$A$5:$A$34,$L109))</f>
        <v/>
      </c>
      <c r="B109" s="21" t="str">
        <f>IF($L109="","",INDEX('Packet Builder'!$B$5:$B$34,$L109))</f>
        <v/>
      </c>
      <c r="C109" s="22" t="str">
        <f>IF($L109="","",ROWS($L$5:L109)-(INDEX('Packet Builder'!$O$5:$O$34,$L109)-$M109-1))</f>
        <v/>
      </c>
      <c r="D109" s="22" t="str">
        <f>IF($L109="","",IF($C109&gt;$M109,"EOF",IFERROR(VALUE(TRIM(MID(SUBSTITUTE(INDEX('Packet Builder'!$P$5:$P$34,$L109),",",REPT(" ",LEN(INDEX('Packet Builder'!$P$5:$P$34,$L109)))),($C109-1)*LEN(INDEX('Packet Builder'!$P$5:$P$34,$L109))+1,LEN(INDEX('Packet Builder'!$P$5:$P$34,$L109))))),"ERR")))</f>
        <v/>
      </c>
      <c r="E109" s="21" t="str">
        <f>IF($L109="","",IF($C109&gt;$M109,"End of Frame Delimiter",IFERROR(INDEX(Fields!$B$5:$B$48,MATCH($D109,Fields!$A$5:$A$48,0)),"MISSING")))</f>
        <v/>
      </c>
      <c r="F109" s="22" t="str">
        <f>IF($L109="","",SUMIF($L$5:L109,L109,$G$5:G109)-G109)</f>
        <v/>
      </c>
      <c r="G109" s="22" t="str">
        <f>IF($L109="","",IF($C109&gt;$M109,Overview!$B$26,IFERROR(INDEX(Fields!$F$5:$F$48,MATCH($D109,Fields!$A$5:$A$48,0)),0)))</f>
        <v/>
      </c>
      <c r="H109" s="22" t="str">
        <f t="shared" si="1"/>
        <v/>
      </c>
      <c r="I109" s="21" t="str">
        <f>IF($L109="","",IF($C109&gt;$M109,IF(Overview!$B$26=1,"uint8","uint8["&amp;Overview!$B$26&amp;"]"),IFERROR(INDEX(Fields!$E$5:$E$48,MATCH($D109,Fields!$A$5:$A$48,0)),"MISSING")))</f>
        <v/>
      </c>
      <c r="J109" s="21" t="str">
        <f>IF($L109="","",IF($C109&gt;$M109,"Fixed end-of-frame delimiter, value "&amp;Overview!$B$25&amp;".",IFERROR(INDEX(Fields!$G$5:$G$48,MATCH($D109,Fields!$A$5:$A$48,0)),"MISSING")))</f>
        <v/>
      </c>
      <c r="K109" s="21" t="str">
        <f>IF($L109="","",IF($C109&gt;$M109,"n/a",IFERROR(INDEX(Fields!$H$5:$H$48,MATCH($D109,Fields!$A$5:$A$48,0)),"MISSING")))</f>
        <v/>
      </c>
      <c r="L109" s="23" t="str">
        <f>IF(ROWS($L$5:L109)&gt;MAX('Packet Builder'!$O$5:$O$34),"",COUNTIF('Packet Builder'!$O$5:$O$34,"&lt;"&amp;ROWS($L$5:L109))+1)</f>
        <v/>
      </c>
      <c r="M109" s="23" t="str">
        <f>IF($L109="","",INDEX('Packet Builder'!$F$5:$F$34,$L109))</f>
        <v/>
      </c>
    </row>
    <row r="110" spans="1:13" x14ac:dyDescent="0.35">
      <c r="A110" s="21" t="str">
        <f>IF($L110="","",INDEX('Packet Builder'!$A$5:$A$34,$L110))</f>
        <v/>
      </c>
      <c r="B110" s="21" t="str">
        <f>IF($L110="","",INDEX('Packet Builder'!$B$5:$B$34,$L110))</f>
        <v/>
      </c>
      <c r="C110" s="22" t="str">
        <f>IF($L110="","",ROWS($L$5:L110)-(INDEX('Packet Builder'!$O$5:$O$34,$L110)-$M110-1))</f>
        <v/>
      </c>
      <c r="D110" s="22" t="str">
        <f>IF($L110="","",IF($C110&gt;$M110,"EOF",IFERROR(VALUE(TRIM(MID(SUBSTITUTE(INDEX('Packet Builder'!$P$5:$P$34,$L110),",",REPT(" ",LEN(INDEX('Packet Builder'!$P$5:$P$34,$L110)))),($C110-1)*LEN(INDEX('Packet Builder'!$P$5:$P$34,$L110))+1,LEN(INDEX('Packet Builder'!$P$5:$P$34,$L110))))),"ERR")))</f>
        <v/>
      </c>
      <c r="E110" s="21" t="str">
        <f>IF($L110="","",IF($C110&gt;$M110,"End of Frame Delimiter",IFERROR(INDEX(Fields!$B$5:$B$48,MATCH($D110,Fields!$A$5:$A$48,0)),"MISSING")))</f>
        <v/>
      </c>
      <c r="F110" s="22" t="str">
        <f>IF($L110="","",SUMIF($L$5:L110,L110,$G$5:G110)-G110)</f>
        <v/>
      </c>
      <c r="G110" s="22" t="str">
        <f>IF($L110="","",IF($C110&gt;$M110,Overview!$B$26,IFERROR(INDEX(Fields!$F$5:$F$48,MATCH($D110,Fields!$A$5:$A$48,0)),0)))</f>
        <v/>
      </c>
      <c r="H110" s="22" t="str">
        <f t="shared" si="1"/>
        <v/>
      </c>
      <c r="I110" s="21" t="str">
        <f>IF($L110="","",IF($C110&gt;$M110,IF(Overview!$B$26=1,"uint8","uint8["&amp;Overview!$B$26&amp;"]"),IFERROR(INDEX(Fields!$E$5:$E$48,MATCH($D110,Fields!$A$5:$A$48,0)),"MISSING")))</f>
        <v/>
      </c>
      <c r="J110" s="21" t="str">
        <f>IF($L110="","",IF($C110&gt;$M110,"Fixed end-of-frame delimiter, value "&amp;Overview!$B$25&amp;".",IFERROR(INDEX(Fields!$G$5:$G$48,MATCH($D110,Fields!$A$5:$A$48,0)),"MISSING")))</f>
        <v/>
      </c>
      <c r="K110" s="21" t="str">
        <f>IF($L110="","",IF($C110&gt;$M110,"n/a",IFERROR(INDEX(Fields!$H$5:$H$48,MATCH($D110,Fields!$A$5:$A$48,0)),"MISSING")))</f>
        <v/>
      </c>
      <c r="L110" s="23" t="str">
        <f>IF(ROWS($L$5:L110)&gt;MAX('Packet Builder'!$O$5:$O$34),"",COUNTIF('Packet Builder'!$O$5:$O$34,"&lt;"&amp;ROWS($L$5:L110))+1)</f>
        <v/>
      </c>
      <c r="M110" s="23" t="str">
        <f>IF($L110="","",INDEX('Packet Builder'!$F$5:$F$34,$L110))</f>
        <v/>
      </c>
    </row>
    <row r="111" spans="1:13" x14ac:dyDescent="0.35">
      <c r="A111" s="21" t="str">
        <f>IF($L111="","",INDEX('Packet Builder'!$A$5:$A$34,$L111))</f>
        <v/>
      </c>
      <c r="B111" s="21" t="str">
        <f>IF($L111="","",INDEX('Packet Builder'!$B$5:$B$34,$L111))</f>
        <v/>
      </c>
      <c r="C111" s="22" t="str">
        <f>IF($L111="","",ROWS($L$5:L111)-(INDEX('Packet Builder'!$O$5:$O$34,$L111)-$M111-1))</f>
        <v/>
      </c>
      <c r="D111" s="22" t="str">
        <f>IF($L111="","",IF($C111&gt;$M111,"EOF",IFERROR(VALUE(TRIM(MID(SUBSTITUTE(INDEX('Packet Builder'!$P$5:$P$34,$L111),",",REPT(" ",LEN(INDEX('Packet Builder'!$P$5:$P$34,$L111)))),($C111-1)*LEN(INDEX('Packet Builder'!$P$5:$P$34,$L111))+1,LEN(INDEX('Packet Builder'!$P$5:$P$34,$L111))))),"ERR")))</f>
        <v/>
      </c>
      <c r="E111" s="21" t="str">
        <f>IF($L111="","",IF($C111&gt;$M111,"End of Frame Delimiter",IFERROR(INDEX(Fields!$B$5:$B$48,MATCH($D111,Fields!$A$5:$A$48,0)),"MISSING")))</f>
        <v/>
      </c>
      <c r="F111" s="22" t="str">
        <f>IF($L111="","",SUMIF($L$5:L111,L111,$G$5:G111)-G111)</f>
        <v/>
      </c>
      <c r="G111" s="22" t="str">
        <f>IF($L111="","",IF($C111&gt;$M111,Overview!$B$26,IFERROR(INDEX(Fields!$F$5:$F$48,MATCH($D111,Fields!$A$5:$A$48,0)),0)))</f>
        <v/>
      </c>
      <c r="H111" s="22" t="str">
        <f t="shared" si="1"/>
        <v/>
      </c>
      <c r="I111" s="21" t="str">
        <f>IF($L111="","",IF($C111&gt;$M111,IF(Overview!$B$26=1,"uint8","uint8["&amp;Overview!$B$26&amp;"]"),IFERROR(INDEX(Fields!$E$5:$E$48,MATCH($D111,Fields!$A$5:$A$48,0)),"MISSING")))</f>
        <v/>
      </c>
      <c r="J111" s="21" t="str">
        <f>IF($L111="","",IF($C111&gt;$M111,"Fixed end-of-frame delimiter, value "&amp;Overview!$B$25&amp;".",IFERROR(INDEX(Fields!$G$5:$G$48,MATCH($D111,Fields!$A$5:$A$48,0)),"MISSING")))</f>
        <v/>
      </c>
      <c r="K111" s="21" t="str">
        <f>IF($L111="","",IF($C111&gt;$M111,"n/a",IFERROR(INDEX(Fields!$H$5:$H$48,MATCH($D111,Fields!$A$5:$A$48,0)),"MISSING")))</f>
        <v/>
      </c>
      <c r="L111" s="23" t="str">
        <f>IF(ROWS($L$5:L111)&gt;MAX('Packet Builder'!$O$5:$O$34),"",COUNTIF('Packet Builder'!$O$5:$O$34,"&lt;"&amp;ROWS($L$5:L111))+1)</f>
        <v/>
      </c>
      <c r="M111" s="23" t="str">
        <f>IF($L111="","",INDEX('Packet Builder'!$F$5:$F$34,$L111))</f>
        <v/>
      </c>
    </row>
    <row r="112" spans="1:13" x14ac:dyDescent="0.35">
      <c r="A112" s="21" t="str">
        <f>IF($L112="","",INDEX('Packet Builder'!$A$5:$A$34,$L112))</f>
        <v/>
      </c>
      <c r="B112" s="21" t="str">
        <f>IF($L112="","",INDEX('Packet Builder'!$B$5:$B$34,$L112))</f>
        <v/>
      </c>
      <c r="C112" s="22" t="str">
        <f>IF($L112="","",ROWS($L$5:L112)-(INDEX('Packet Builder'!$O$5:$O$34,$L112)-$M112-1))</f>
        <v/>
      </c>
      <c r="D112" s="22" t="str">
        <f>IF($L112="","",IF($C112&gt;$M112,"EOF",IFERROR(VALUE(TRIM(MID(SUBSTITUTE(INDEX('Packet Builder'!$P$5:$P$34,$L112),",",REPT(" ",LEN(INDEX('Packet Builder'!$P$5:$P$34,$L112)))),($C112-1)*LEN(INDEX('Packet Builder'!$P$5:$P$34,$L112))+1,LEN(INDEX('Packet Builder'!$P$5:$P$34,$L112))))),"ERR")))</f>
        <v/>
      </c>
      <c r="E112" s="21" t="str">
        <f>IF($L112="","",IF($C112&gt;$M112,"End of Frame Delimiter",IFERROR(INDEX(Fields!$B$5:$B$48,MATCH($D112,Fields!$A$5:$A$48,0)),"MISSING")))</f>
        <v/>
      </c>
      <c r="F112" s="22" t="str">
        <f>IF($L112="","",SUMIF($L$5:L112,L112,$G$5:G112)-G112)</f>
        <v/>
      </c>
      <c r="G112" s="22" t="str">
        <f>IF($L112="","",IF($C112&gt;$M112,Overview!$B$26,IFERROR(INDEX(Fields!$F$5:$F$48,MATCH($D112,Fields!$A$5:$A$48,0)),0)))</f>
        <v/>
      </c>
      <c r="H112" s="22" t="str">
        <f t="shared" si="1"/>
        <v/>
      </c>
      <c r="I112" s="21" t="str">
        <f>IF($L112="","",IF($C112&gt;$M112,IF(Overview!$B$26=1,"uint8","uint8["&amp;Overview!$B$26&amp;"]"),IFERROR(INDEX(Fields!$E$5:$E$48,MATCH($D112,Fields!$A$5:$A$48,0)),"MISSING")))</f>
        <v/>
      </c>
      <c r="J112" s="21" t="str">
        <f>IF($L112="","",IF($C112&gt;$M112,"Fixed end-of-frame delimiter, value "&amp;Overview!$B$25&amp;".",IFERROR(INDEX(Fields!$G$5:$G$48,MATCH($D112,Fields!$A$5:$A$48,0)),"MISSING")))</f>
        <v/>
      </c>
      <c r="K112" s="21" t="str">
        <f>IF($L112="","",IF($C112&gt;$M112,"n/a",IFERROR(INDEX(Fields!$H$5:$H$48,MATCH($D112,Fields!$A$5:$A$48,0)),"MISSING")))</f>
        <v/>
      </c>
      <c r="L112" s="23" t="str">
        <f>IF(ROWS($L$5:L112)&gt;MAX('Packet Builder'!$O$5:$O$34),"",COUNTIF('Packet Builder'!$O$5:$O$34,"&lt;"&amp;ROWS($L$5:L112))+1)</f>
        <v/>
      </c>
      <c r="M112" s="23" t="str">
        <f>IF($L112="","",INDEX('Packet Builder'!$F$5:$F$34,$L112))</f>
        <v/>
      </c>
    </row>
    <row r="113" spans="1:13" x14ac:dyDescent="0.35">
      <c r="A113" s="21" t="str">
        <f>IF($L113="","",INDEX('Packet Builder'!$A$5:$A$34,$L113))</f>
        <v/>
      </c>
      <c r="B113" s="21" t="str">
        <f>IF($L113="","",INDEX('Packet Builder'!$B$5:$B$34,$L113))</f>
        <v/>
      </c>
      <c r="C113" s="22" t="str">
        <f>IF($L113="","",ROWS($L$5:L113)-(INDEX('Packet Builder'!$O$5:$O$34,$L113)-$M113-1))</f>
        <v/>
      </c>
      <c r="D113" s="22" t="str">
        <f>IF($L113="","",IF($C113&gt;$M113,"EOF",IFERROR(VALUE(TRIM(MID(SUBSTITUTE(INDEX('Packet Builder'!$P$5:$P$34,$L113),",",REPT(" ",LEN(INDEX('Packet Builder'!$P$5:$P$34,$L113)))),($C113-1)*LEN(INDEX('Packet Builder'!$P$5:$P$34,$L113))+1,LEN(INDEX('Packet Builder'!$P$5:$P$34,$L113))))),"ERR")))</f>
        <v/>
      </c>
      <c r="E113" s="21" t="str">
        <f>IF($L113="","",IF($C113&gt;$M113,"End of Frame Delimiter",IFERROR(INDEX(Fields!$B$5:$B$48,MATCH($D113,Fields!$A$5:$A$48,0)),"MISSING")))</f>
        <v/>
      </c>
      <c r="F113" s="22" t="str">
        <f>IF($L113="","",SUMIF($L$5:L113,L113,$G$5:G113)-G113)</f>
        <v/>
      </c>
      <c r="G113" s="22" t="str">
        <f>IF($L113="","",IF($C113&gt;$M113,Overview!$B$26,IFERROR(INDEX(Fields!$F$5:$F$48,MATCH($D113,Fields!$A$5:$A$48,0)),0)))</f>
        <v/>
      </c>
      <c r="H113" s="22" t="str">
        <f t="shared" si="1"/>
        <v/>
      </c>
      <c r="I113" s="21" t="str">
        <f>IF($L113="","",IF($C113&gt;$M113,IF(Overview!$B$26=1,"uint8","uint8["&amp;Overview!$B$26&amp;"]"),IFERROR(INDEX(Fields!$E$5:$E$48,MATCH($D113,Fields!$A$5:$A$48,0)),"MISSING")))</f>
        <v/>
      </c>
      <c r="J113" s="21" t="str">
        <f>IF($L113="","",IF($C113&gt;$M113,"Fixed end-of-frame delimiter, value "&amp;Overview!$B$25&amp;".",IFERROR(INDEX(Fields!$G$5:$G$48,MATCH($D113,Fields!$A$5:$A$48,0)),"MISSING")))</f>
        <v/>
      </c>
      <c r="K113" s="21" t="str">
        <f>IF($L113="","",IF($C113&gt;$M113,"n/a",IFERROR(INDEX(Fields!$H$5:$H$48,MATCH($D113,Fields!$A$5:$A$48,0)),"MISSING")))</f>
        <v/>
      </c>
      <c r="L113" s="23" t="str">
        <f>IF(ROWS($L$5:L113)&gt;MAX('Packet Builder'!$O$5:$O$34),"",COUNTIF('Packet Builder'!$O$5:$O$34,"&lt;"&amp;ROWS($L$5:L113))+1)</f>
        <v/>
      </c>
      <c r="M113" s="23" t="str">
        <f>IF($L113="","",INDEX('Packet Builder'!$F$5:$F$34,$L113))</f>
        <v/>
      </c>
    </row>
    <row r="114" spans="1:13" x14ac:dyDescent="0.35">
      <c r="A114" s="21" t="str">
        <f>IF($L114="","",INDEX('Packet Builder'!$A$5:$A$34,$L114))</f>
        <v/>
      </c>
      <c r="B114" s="21" t="str">
        <f>IF($L114="","",INDEX('Packet Builder'!$B$5:$B$34,$L114))</f>
        <v/>
      </c>
      <c r="C114" s="22" t="str">
        <f>IF($L114="","",ROWS($L$5:L114)-(INDEX('Packet Builder'!$O$5:$O$34,$L114)-$M114-1))</f>
        <v/>
      </c>
      <c r="D114" s="22" t="str">
        <f>IF($L114="","",IF($C114&gt;$M114,"EOF",IFERROR(VALUE(TRIM(MID(SUBSTITUTE(INDEX('Packet Builder'!$P$5:$P$34,$L114),",",REPT(" ",LEN(INDEX('Packet Builder'!$P$5:$P$34,$L114)))),($C114-1)*LEN(INDEX('Packet Builder'!$P$5:$P$34,$L114))+1,LEN(INDEX('Packet Builder'!$P$5:$P$34,$L114))))),"ERR")))</f>
        <v/>
      </c>
      <c r="E114" s="21" t="str">
        <f>IF($L114="","",IF($C114&gt;$M114,"End of Frame Delimiter",IFERROR(INDEX(Fields!$B$5:$B$48,MATCH($D114,Fields!$A$5:$A$48,0)),"MISSING")))</f>
        <v/>
      </c>
      <c r="F114" s="22" t="str">
        <f>IF($L114="","",SUMIF($L$5:L114,L114,$G$5:G114)-G114)</f>
        <v/>
      </c>
      <c r="G114" s="22" t="str">
        <f>IF($L114="","",IF($C114&gt;$M114,Overview!$B$26,IFERROR(INDEX(Fields!$F$5:$F$48,MATCH($D114,Fields!$A$5:$A$48,0)),0)))</f>
        <v/>
      </c>
      <c r="H114" s="22" t="str">
        <f t="shared" si="1"/>
        <v/>
      </c>
      <c r="I114" s="21" t="str">
        <f>IF($L114="","",IF($C114&gt;$M114,IF(Overview!$B$26=1,"uint8","uint8["&amp;Overview!$B$26&amp;"]"),IFERROR(INDEX(Fields!$E$5:$E$48,MATCH($D114,Fields!$A$5:$A$48,0)),"MISSING")))</f>
        <v/>
      </c>
      <c r="J114" s="21" t="str">
        <f>IF($L114="","",IF($C114&gt;$M114,"Fixed end-of-frame delimiter, value "&amp;Overview!$B$25&amp;".",IFERROR(INDEX(Fields!$G$5:$G$48,MATCH($D114,Fields!$A$5:$A$48,0)),"MISSING")))</f>
        <v/>
      </c>
      <c r="K114" s="21" t="str">
        <f>IF($L114="","",IF($C114&gt;$M114,"n/a",IFERROR(INDEX(Fields!$H$5:$H$48,MATCH($D114,Fields!$A$5:$A$48,0)),"MISSING")))</f>
        <v/>
      </c>
      <c r="L114" s="23" t="str">
        <f>IF(ROWS($L$5:L114)&gt;MAX('Packet Builder'!$O$5:$O$34),"",COUNTIF('Packet Builder'!$O$5:$O$34,"&lt;"&amp;ROWS($L$5:L114))+1)</f>
        <v/>
      </c>
      <c r="M114" s="23" t="str">
        <f>IF($L114="","",INDEX('Packet Builder'!$F$5:$F$34,$L114))</f>
        <v/>
      </c>
    </row>
    <row r="115" spans="1:13" x14ac:dyDescent="0.35">
      <c r="A115" s="21" t="str">
        <f>IF($L115="","",INDEX('Packet Builder'!$A$5:$A$34,$L115))</f>
        <v/>
      </c>
      <c r="B115" s="21" t="str">
        <f>IF($L115="","",INDEX('Packet Builder'!$B$5:$B$34,$L115))</f>
        <v/>
      </c>
      <c r="C115" s="22" t="str">
        <f>IF($L115="","",ROWS($L$5:L115)-(INDEX('Packet Builder'!$O$5:$O$34,$L115)-$M115-1))</f>
        <v/>
      </c>
      <c r="D115" s="22" t="str">
        <f>IF($L115="","",IF($C115&gt;$M115,"EOF",IFERROR(VALUE(TRIM(MID(SUBSTITUTE(INDEX('Packet Builder'!$P$5:$P$34,$L115),",",REPT(" ",LEN(INDEX('Packet Builder'!$P$5:$P$34,$L115)))),($C115-1)*LEN(INDEX('Packet Builder'!$P$5:$P$34,$L115))+1,LEN(INDEX('Packet Builder'!$P$5:$P$34,$L115))))),"ERR")))</f>
        <v/>
      </c>
      <c r="E115" s="21" t="str">
        <f>IF($L115="","",IF($C115&gt;$M115,"End of Frame Delimiter",IFERROR(INDEX(Fields!$B$5:$B$48,MATCH($D115,Fields!$A$5:$A$48,0)),"MISSING")))</f>
        <v/>
      </c>
      <c r="F115" s="22" t="str">
        <f>IF($L115="","",SUMIF($L$5:L115,L115,$G$5:G115)-G115)</f>
        <v/>
      </c>
      <c r="G115" s="22" t="str">
        <f>IF($L115="","",IF($C115&gt;$M115,Overview!$B$26,IFERROR(INDEX(Fields!$F$5:$F$48,MATCH($D115,Fields!$A$5:$A$48,0)),0)))</f>
        <v/>
      </c>
      <c r="H115" s="22" t="str">
        <f t="shared" si="1"/>
        <v/>
      </c>
      <c r="I115" s="21" t="str">
        <f>IF($L115="","",IF($C115&gt;$M115,IF(Overview!$B$26=1,"uint8","uint8["&amp;Overview!$B$26&amp;"]"),IFERROR(INDEX(Fields!$E$5:$E$48,MATCH($D115,Fields!$A$5:$A$48,0)),"MISSING")))</f>
        <v/>
      </c>
      <c r="J115" s="21" t="str">
        <f>IF($L115="","",IF($C115&gt;$M115,"Fixed end-of-frame delimiter, value "&amp;Overview!$B$25&amp;".",IFERROR(INDEX(Fields!$G$5:$G$48,MATCH($D115,Fields!$A$5:$A$48,0)),"MISSING")))</f>
        <v/>
      </c>
      <c r="K115" s="21" t="str">
        <f>IF($L115="","",IF($C115&gt;$M115,"n/a",IFERROR(INDEX(Fields!$H$5:$H$48,MATCH($D115,Fields!$A$5:$A$48,0)),"MISSING")))</f>
        <v/>
      </c>
      <c r="L115" s="23" t="str">
        <f>IF(ROWS($L$5:L115)&gt;MAX('Packet Builder'!$O$5:$O$34),"",COUNTIF('Packet Builder'!$O$5:$O$34,"&lt;"&amp;ROWS($L$5:L115))+1)</f>
        <v/>
      </c>
      <c r="M115" s="23" t="str">
        <f>IF($L115="","",INDEX('Packet Builder'!$F$5:$F$34,$L115))</f>
        <v/>
      </c>
    </row>
    <row r="116" spans="1:13" x14ac:dyDescent="0.35">
      <c r="A116" s="21" t="str">
        <f>IF($L116="","",INDEX('Packet Builder'!$A$5:$A$34,$L116))</f>
        <v/>
      </c>
      <c r="B116" s="21" t="str">
        <f>IF($L116="","",INDEX('Packet Builder'!$B$5:$B$34,$L116))</f>
        <v/>
      </c>
      <c r="C116" s="22" t="str">
        <f>IF($L116="","",ROWS($L$5:L116)-(INDEX('Packet Builder'!$O$5:$O$34,$L116)-$M116-1))</f>
        <v/>
      </c>
      <c r="D116" s="22" t="str">
        <f>IF($L116="","",IF($C116&gt;$M116,"EOF",IFERROR(VALUE(TRIM(MID(SUBSTITUTE(INDEX('Packet Builder'!$P$5:$P$34,$L116),",",REPT(" ",LEN(INDEX('Packet Builder'!$P$5:$P$34,$L116)))),($C116-1)*LEN(INDEX('Packet Builder'!$P$5:$P$34,$L116))+1,LEN(INDEX('Packet Builder'!$P$5:$P$34,$L116))))),"ERR")))</f>
        <v/>
      </c>
      <c r="E116" s="21" t="str">
        <f>IF($L116="","",IF($C116&gt;$M116,"End of Frame Delimiter",IFERROR(INDEX(Fields!$B$5:$B$48,MATCH($D116,Fields!$A$5:$A$48,0)),"MISSING")))</f>
        <v/>
      </c>
      <c r="F116" s="22" t="str">
        <f>IF($L116="","",SUMIF($L$5:L116,L116,$G$5:G116)-G116)</f>
        <v/>
      </c>
      <c r="G116" s="22" t="str">
        <f>IF($L116="","",IF($C116&gt;$M116,Overview!$B$26,IFERROR(INDEX(Fields!$F$5:$F$48,MATCH($D116,Fields!$A$5:$A$48,0)),0)))</f>
        <v/>
      </c>
      <c r="H116" s="22" t="str">
        <f t="shared" si="1"/>
        <v/>
      </c>
      <c r="I116" s="21" t="str">
        <f>IF($L116="","",IF($C116&gt;$M116,IF(Overview!$B$26=1,"uint8","uint8["&amp;Overview!$B$26&amp;"]"),IFERROR(INDEX(Fields!$E$5:$E$48,MATCH($D116,Fields!$A$5:$A$48,0)),"MISSING")))</f>
        <v/>
      </c>
      <c r="J116" s="21" t="str">
        <f>IF($L116="","",IF($C116&gt;$M116,"Fixed end-of-frame delimiter, value "&amp;Overview!$B$25&amp;".",IFERROR(INDEX(Fields!$G$5:$G$48,MATCH($D116,Fields!$A$5:$A$48,0)),"MISSING")))</f>
        <v/>
      </c>
      <c r="K116" s="21" t="str">
        <f>IF($L116="","",IF($C116&gt;$M116,"n/a",IFERROR(INDEX(Fields!$H$5:$H$48,MATCH($D116,Fields!$A$5:$A$48,0)),"MISSING")))</f>
        <v/>
      </c>
      <c r="L116" s="23" t="str">
        <f>IF(ROWS($L$5:L116)&gt;MAX('Packet Builder'!$O$5:$O$34),"",COUNTIF('Packet Builder'!$O$5:$O$34,"&lt;"&amp;ROWS($L$5:L116))+1)</f>
        <v/>
      </c>
      <c r="M116" s="23" t="str">
        <f>IF($L116="","",INDEX('Packet Builder'!$F$5:$F$34,$L116))</f>
        <v/>
      </c>
    </row>
    <row r="117" spans="1:13" x14ac:dyDescent="0.35">
      <c r="A117" s="21" t="str">
        <f>IF($L117="","",INDEX('Packet Builder'!$A$5:$A$34,$L117))</f>
        <v/>
      </c>
      <c r="B117" s="21" t="str">
        <f>IF($L117="","",INDEX('Packet Builder'!$B$5:$B$34,$L117))</f>
        <v/>
      </c>
      <c r="C117" s="22" t="str">
        <f>IF($L117="","",ROWS($L$5:L117)-(INDEX('Packet Builder'!$O$5:$O$34,$L117)-$M117-1))</f>
        <v/>
      </c>
      <c r="D117" s="22" t="str">
        <f>IF($L117="","",IF($C117&gt;$M117,"EOF",IFERROR(VALUE(TRIM(MID(SUBSTITUTE(INDEX('Packet Builder'!$P$5:$P$34,$L117),",",REPT(" ",LEN(INDEX('Packet Builder'!$P$5:$P$34,$L117)))),($C117-1)*LEN(INDEX('Packet Builder'!$P$5:$P$34,$L117))+1,LEN(INDEX('Packet Builder'!$P$5:$P$34,$L117))))),"ERR")))</f>
        <v/>
      </c>
      <c r="E117" s="21" t="str">
        <f>IF($L117="","",IF($C117&gt;$M117,"End of Frame Delimiter",IFERROR(INDEX(Fields!$B$5:$B$48,MATCH($D117,Fields!$A$5:$A$48,0)),"MISSING")))</f>
        <v/>
      </c>
      <c r="F117" s="22" t="str">
        <f>IF($L117="","",SUMIF($L$5:L117,L117,$G$5:G117)-G117)</f>
        <v/>
      </c>
      <c r="G117" s="22" t="str">
        <f>IF($L117="","",IF($C117&gt;$M117,Overview!$B$26,IFERROR(INDEX(Fields!$F$5:$F$48,MATCH($D117,Fields!$A$5:$A$48,0)),0)))</f>
        <v/>
      </c>
      <c r="H117" s="22" t="str">
        <f t="shared" si="1"/>
        <v/>
      </c>
      <c r="I117" s="21" t="str">
        <f>IF($L117="","",IF($C117&gt;$M117,IF(Overview!$B$26=1,"uint8","uint8["&amp;Overview!$B$26&amp;"]"),IFERROR(INDEX(Fields!$E$5:$E$48,MATCH($D117,Fields!$A$5:$A$48,0)),"MISSING")))</f>
        <v/>
      </c>
      <c r="J117" s="21" t="str">
        <f>IF($L117="","",IF($C117&gt;$M117,"Fixed end-of-frame delimiter, value "&amp;Overview!$B$25&amp;".",IFERROR(INDEX(Fields!$G$5:$G$48,MATCH($D117,Fields!$A$5:$A$48,0)),"MISSING")))</f>
        <v/>
      </c>
      <c r="K117" s="21" t="str">
        <f>IF($L117="","",IF($C117&gt;$M117,"n/a",IFERROR(INDEX(Fields!$H$5:$H$48,MATCH($D117,Fields!$A$5:$A$48,0)),"MISSING")))</f>
        <v/>
      </c>
      <c r="L117" s="23" t="str">
        <f>IF(ROWS($L$5:L117)&gt;MAX('Packet Builder'!$O$5:$O$34),"",COUNTIF('Packet Builder'!$O$5:$O$34,"&lt;"&amp;ROWS($L$5:L117))+1)</f>
        <v/>
      </c>
      <c r="M117" s="23" t="str">
        <f>IF($L117="","",INDEX('Packet Builder'!$F$5:$F$34,$L117))</f>
        <v/>
      </c>
    </row>
    <row r="118" spans="1:13" x14ac:dyDescent="0.35">
      <c r="A118" s="21" t="str">
        <f>IF($L118="","",INDEX('Packet Builder'!$A$5:$A$34,$L118))</f>
        <v/>
      </c>
      <c r="B118" s="21" t="str">
        <f>IF($L118="","",INDEX('Packet Builder'!$B$5:$B$34,$L118))</f>
        <v/>
      </c>
      <c r="C118" s="22" t="str">
        <f>IF($L118="","",ROWS($L$5:L118)-(INDEX('Packet Builder'!$O$5:$O$34,$L118)-$M118-1))</f>
        <v/>
      </c>
      <c r="D118" s="22" t="str">
        <f>IF($L118="","",IF($C118&gt;$M118,"EOF",IFERROR(VALUE(TRIM(MID(SUBSTITUTE(INDEX('Packet Builder'!$P$5:$P$34,$L118),",",REPT(" ",LEN(INDEX('Packet Builder'!$P$5:$P$34,$L118)))),($C118-1)*LEN(INDEX('Packet Builder'!$P$5:$P$34,$L118))+1,LEN(INDEX('Packet Builder'!$P$5:$P$34,$L118))))),"ERR")))</f>
        <v/>
      </c>
      <c r="E118" s="21" t="str">
        <f>IF($L118="","",IF($C118&gt;$M118,"End of Frame Delimiter",IFERROR(INDEX(Fields!$B$5:$B$48,MATCH($D118,Fields!$A$5:$A$48,0)),"MISSING")))</f>
        <v/>
      </c>
      <c r="F118" s="22" t="str">
        <f>IF($L118="","",SUMIF($L$5:L118,L118,$G$5:G118)-G118)</f>
        <v/>
      </c>
      <c r="G118" s="22" t="str">
        <f>IF($L118="","",IF($C118&gt;$M118,Overview!$B$26,IFERROR(INDEX(Fields!$F$5:$F$48,MATCH($D118,Fields!$A$5:$A$48,0)),0)))</f>
        <v/>
      </c>
      <c r="H118" s="22" t="str">
        <f t="shared" si="1"/>
        <v/>
      </c>
      <c r="I118" s="21" t="str">
        <f>IF($L118="","",IF($C118&gt;$M118,IF(Overview!$B$26=1,"uint8","uint8["&amp;Overview!$B$26&amp;"]"),IFERROR(INDEX(Fields!$E$5:$E$48,MATCH($D118,Fields!$A$5:$A$48,0)),"MISSING")))</f>
        <v/>
      </c>
      <c r="J118" s="21" t="str">
        <f>IF($L118="","",IF($C118&gt;$M118,"Fixed end-of-frame delimiter, value "&amp;Overview!$B$25&amp;".",IFERROR(INDEX(Fields!$G$5:$G$48,MATCH($D118,Fields!$A$5:$A$48,0)),"MISSING")))</f>
        <v/>
      </c>
      <c r="K118" s="21" t="str">
        <f>IF($L118="","",IF($C118&gt;$M118,"n/a",IFERROR(INDEX(Fields!$H$5:$H$48,MATCH($D118,Fields!$A$5:$A$48,0)),"MISSING")))</f>
        <v/>
      </c>
      <c r="L118" s="23" t="str">
        <f>IF(ROWS($L$5:L118)&gt;MAX('Packet Builder'!$O$5:$O$34),"",COUNTIF('Packet Builder'!$O$5:$O$34,"&lt;"&amp;ROWS($L$5:L118))+1)</f>
        <v/>
      </c>
      <c r="M118" s="23" t="str">
        <f>IF($L118="","",INDEX('Packet Builder'!$F$5:$F$34,$L118))</f>
        <v/>
      </c>
    </row>
    <row r="119" spans="1:13" x14ac:dyDescent="0.35">
      <c r="A119" s="21" t="str">
        <f>IF($L119="","",INDEX('Packet Builder'!$A$5:$A$34,$L119))</f>
        <v/>
      </c>
      <c r="B119" s="21" t="str">
        <f>IF($L119="","",INDEX('Packet Builder'!$B$5:$B$34,$L119))</f>
        <v/>
      </c>
      <c r="C119" s="22" t="str">
        <f>IF($L119="","",ROWS($L$5:L119)-(INDEX('Packet Builder'!$O$5:$O$34,$L119)-$M119-1))</f>
        <v/>
      </c>
      <c r="D119" s="22" t="str">
        <f>IF($L119="","",IF($C119&gt;$M119,"EOF",IFERROR(VALUE(TRIM(MID(SUBSTITUTE(INDEX('Packet Builder'!$P$5:$P$34,$L119),",",REPT(" ",LEN(INDEX('Packet Builder'!$P$5:$P$34,$L119)))),($C119-1)*LEN(INDEX('Packet Builder'!$P$5:$P$34,$L119))+1,LEN(INDEX('Packet Builder'!$P$5:$P$34,$L119))))),"ERR")))</f>
        <v/>
      </c>
      <c r="E119" s="21" t="str">
        <f>IF($L119="","",IF($C119&gt;$M119,"End of Frame Delimiter",IFERROR(INDEX(Fields!$B$5:$B$48,MATCH($D119,Fields!$A$5:$A$48,0)),"MISSING")))</f>
        <v/>
      </c>
      <c r="F119" s="22" t="str">
        <f>IF($L119="","",SUMIF($L$5:L119,L119,$G$5:G119)-G119)</f>
        <v/>
      </c>
      <c r="G119" s="22" t="str">
        <f>IF($L119="","",IF($C119&gt;$M119,Overview!$B$26,IFERROR(INDEX(Fields!$F$5:$F$48,MATCH($D119,Fields!$A$5:$A$48,0)),0)))</f>
        <v/>
      </c>
      <c r="H119" s="22" t="str">
        <f t="shared" si="1"/>
        <v/>
      </c>
      <c r="I119" s="21" t="str">
        <f>IF($L119="","",IF($C119&gt;$M119,IF(Overview!$B$26=1,"uint8","uint8["&amp;Overview!$B$26&amp;"]"),IFERROR(INDEX(Fields!$E$5:$E$48,MATCH($D119,Fields!$A$5:$A$48,0)),"MISSING")))</f>
        <v/>
      </c>
      <c r="J119" s="21" t="str">
        <f>IF($L119="","",IF($C119&gt;$M119,"Fixed end-of-frame delimiter, value "&amp;Overview!$B$25&amp;".",IFERROR(INDEX(Fields!$G$5:$G$48,MATCH($D119,Fields!$A$5:$A$48,0)),"MISSING")))</f>
        <v/>
      </c>
      <c r="K119" s="21" t="str">
        <f>IF($L119="","",IF($C119&gt;$M119,"n/a",IFERROR(INDEX(Fields!$H$5:$H$48,MATCH($D119,Fields!$A$5:$A$48,0)),"MISSING")))</f>
        <v/>
      </c>
      <c r="L119" s="23" t="str">
        <f>IF(ROWS($L$5:L119)&gt;MAX('Packet Builder'!$O$5:$O$34),"",COUNTIF('Packet Builder'!$O$5:$O$34,"&lt;"&amp;ROWS($L$5:L119))+1)</f>
        <v/>
      </c>
      <c r="M119" s="23" t="str">
        <f>IF($L119="","",INDEX('Packet Builder'!$F$5:$F$34,$L119))</f>
        <v/>
      </c>
    </row>
    <row r="120" spans="1:13" x14ac:dyDescent="0.35">
      <c r="A120" s="21" t="str">
        <f>IF($L120="","",INDEX('Packet Builder'!$A$5:$A$34,$L120))</f>
        <v/>
      </c>
      <c r="B120" s="21" t="str">
        <f>IF($L120="","",INDEX('Packet Builder'!$B$5:$B$34,$L120))</f>
        <v/>
      </c>
      <c r="C120" s="22" t="str">
        <f>IF($L120="","",ROWS($L$5:L120)-(INDEX('Packet Builder'!$O$5:$O$34,$L120)-$M120-1))</f>
        <v/>
      </c>
      <c r="D120" s="22" t="str">
        <f>IF($L120="","",IF($C120&gt;$M120,"EOF",IFERROR(VALUE(TRIM(MID(SUBSTITUTE(INDEX('Packet Builder'!$P$5:$P$34,$L120),",",REPT(" ",LEN(INDEX('Packet Builder'!$P$5:$P$34,$L120)))),($C120-1)*LEN(INDEX('Packet Builder'!$P$5:$P$34,$L120))+1,LEN(INDEX('Packet Builder'!$P$5:$P$34,$L120))))),"ERR")))</f>
        <v/>
      </c>
      <c r="E120" s="21" t="str">
        <f>IF($L120="","",IF($C120&gt;$M120,"End of Frame Delimiter",IFERROR(INDEX(Fields!$B$5:$B$48,MATCH($D120,Fields!$A$5:$A$48,0)),"MISSING")))</f>
        <v/>
      </c>
      <c r="F120" s="22" t="str">
        <f>IF($L120="","",SUMIF($L$5:L120,L120,$G$5:G120)-G120)</f>
        <v/>
      </c>
      <c r="G120" s="22" t="str">
        <f>IF($L120="","",IF($C120&gt;$M120,Overview!$B$26,IFERROR(INDEX(Fields!$F$5:$F$48,MATCH($D120,Fields!$A$5:$A$48,0)),0)))</f>
        <v/>
      </c>
      <c r="H120" s="22" t="str">
        <f t="shared" si="1"/>
        <v/>
      </c>
      <c r="I120" s="21" t="str">
        <f>IF($L120="","",IF($C120&gt;$M120,IF(Overview!$B$26=1,"uint8","uint8["&amp;Overview!$B$26&amp;"]"),IFERROR(INDEX(Fields!$E$5:$E$48,MATCH($D120,Fields!$A$5:$A$48,0)),"MISSING")))</f>
        <v/>
      </c>
      <c r="J120" s="21" t="str">
        <f>IF($L120="","",IF($C120&gt;$M120,"Fixed end-of-frame delimiter, value "&amp;Overview!$B$25&amp;".",IFERROR(INDEX(Fields!$G$5:$G$48,MATCH($D120,Fields!$A$5:$A$48,0)),"MISSING")))</f>
        <v/>
      </c>
      <c r="K120" s="21" t="str">
        <f>IF($L120="","",IF($C120&gt;$M120,"n/a",IFERROR(INDEX(Fields!$H$5:$H$48,MATCH($D120,Fields!$A$5:$A$48,0)),"MISSING")))</f>
        <v/>
      </c>
      <c r="L120" s="23" t="str">
        <f>IF(ROWS($L$5:L120)&gt;MAX('Packet Builder'!$O$5:$O$34),"",COUNTIF('Packet Builder'!$O$5:$O$34,"&lt;"&amp;ROWS($L$5:L120))+1)</f>
        <v/>
      </c>
      <c r="M120" s="23" t="str">
        <f>IF($L120="","",INDEX('Packet Builder'!$F$5:$F$34,$L120))</f>
        <v/>
      </c>
    </row>
    <row r="121" spans="1:13" x14ac:dyDescent="0.35">
      <c r="A121" s="21" t="str">
        <f>IF($L121="","",INDEX('Packet Builder'!$A$5:$A$34,$L121))</f>
        <v/>
      </c>
      <c r="B121" s="21" t="str">
        <f>IF($L121="","",INDEX('Packet Builder'!$B$5:$B$34,$L121))</f>
        <v/>
      </c>
      <c r="C121" s="22" t="str">
        <f>IF($L121="","",ROWS($L$5:L121)-(INDEX('Packet Builder'!$O$5:$O$34,$L121)-$M121-1))</f>
        <v/>
      </c>
      <c r="D121" s="22" t="str">
        <f>IF($L121="","",IF($C121&gt;$M121,"EOF",IFERROR(VALUE(TRIM(MID(SUBSTITUTE(INDEX('Packet Builder'!$P$5:$P$34,$L121),",",REPT(" ",LEN(INDEX('Packet Builder'!$P$5:$P$34,$L121)))),($C121-1)*LEN(INDEX('Packet Builder'!$P$5:$P$34,$L121))+1,LEN(INDEX('Packet Builder'!$P$5:$P$34,$L121))))),"ERR")))</f>
        <v/>
      </c>
      <c r="E121" s="21" t="str">
        <f>IF($L121="","",IF($C121&gt;$M121,"End of Frame Delimiter",IFERROR(INDEX(Fields!$B$5:$B$48,MATCH($D121,Fields!$A$5:$A$48,0)),"MISSING")))</f>
        <v/>
      </c>
      <c r="F121" s="22" t="str">
        <f>IF($L121="","",SUMIF($L$5:L121,L121,$G$5:G121)-G121)</f>
        <v/>
      </c>
      <c r="G121" s="22" t="str">
        <f>IF($L121="","",IF($C121&gt;$M121,Overview!$B$26,IFERROR(INDEX(Fields!$F$5:$F$48,MATCH($D121,Fields!$A$5:$A$48,0)),0)))</f>
        <v/>
      </c>
      <c r="H121" s="22" t="str">
        <f t="shared" si="1"/>
        <v/>
      </c>
      <c r="I121" s="21" t="str">
        <f>IF($L121="","",IF($C121&gt;$M121,IF(Overview!$B$26=1,"uint8","uint8["&amp;Overview!$B$26&amp;"]"),IFERROR(INDEX(Fields!$E$5:$E$48,MATCH($D121,Fields!$A$5:$A$48,0)),"MISSING")))</f>
        <v/>
      </c>
      <c r="J121" s="21" t="str">
        <f>IF($L121="","",IF($C121&gt;$M121,"Fixed end-of-frame delimiter, value "&amp;Overview!$B$25&amp;".",IFERROR(INDEX(Fields!$G$5:$G$48,MATCH($D121,Fields!$A$5:$A$48,0)),"MISSING")))</f>
        <v/>
      </c>
      <c r="K121" s="21" t="str">
        <f>IF($L121="","",IF($C121&gt;$M121,"n/a",IFERROR(INDEX(Fields!$H$5:$H$48,MATCH($D121,Fields!$A$5:$A$48,0)),"MISSING")))</f>
        <v/>
      </c>
      <c r="L121" s="23" t="str">
        <f>IF(ROWS($L$5:L121)&gt;MAX('Packet Builder'!$O$5:$O$34),"",COUNTIF('Packet Builder'!$O$5:$O$34,"&lt;"&amp;ROWS($L$5:L121))+1)</f>
        <v/>
      </c>
      <c r="M121" s="23" t="str">
        <f>IF($L121="","",INDEX('Packet Builder'!$F$5:$F$34,$L121))</f>
        <v/>
      </c>
    </row>
    <row r="122" spans="1:13" x14ac:dyDescent="0.35">
      <c r="A122" s="21" t="str">
        <f>IF($L122="","",INDEX('Packet Builder'!$A$5:$A$34,$L122))</f>
        <v/>
      </c>
      <c r="B122" s="21" t="str">
        <f>IF($L122="","",INDEX('Packet Builder'!$B$5:$B$34,$L122))</f>
        <v/>
      </c>
      <c r="C122" s="22" t="str">
        <f>IF($L122="","",ROWS($L$5:L122)-(INDEX('Packet Builder'!$O$5:$O$34,$L122)-$M122-1))</f>
        <v/>
      </c>
      <c r="D122" s="22" t="str">
        <f>IF($L122="","",IF($C122&gt;$M122,"EOF",IFERROR(VALUE(TRIM(MID(SUBSTITUTE(INDEX('Packet Builder'!$P$5:$P$34,$L122),",",REPT(" ",LEN(INDEX('Packet Builder'!$P$5:$P$34,$L122)))),($C122-1)*LEN(INDEX('Packet Builder'!$P$5:$P$34,$L122))+1,LEN(INDEX('Packet Builder'!$P$5:$P$34,$L122))))),"ERR")))</f>
        <v/>
      </c>
      <c r="E122" s="21" t="str">
        <f>IF($L122="","",IF($C122&gt;$M122,"End of Frame Delimiter",IFERROR(INDEX(Fields!$B$5:$B$48,MATCH($D122,Fields!$A$5:$A$48,0)),"MISSING")))</f>
        <v/>
      </c>
      <c r="F122" s="22" t="str">
        <f>IF($L122="","",SUMIF($L$5:L122,L122,$G$5:G122)-G122)</f>
        <v/>
      </c>
      <c r="G122" s="22" t="str">
        <f>IF($L122="","",IF($C122&gt;$M122,Overview!$B$26,IFERROR(INDEX(Fields!$F$5:$F$48,MATCH($D122,Fields!$A$5:$A$48,0)),0)))</f>
        <v/>
      </c>
      <c r="H122" s="22" t="str">
        <f t="shared" si="1"/>
        <v/>
      </c>
      <c r="I122" s="21" t="str">
        <f>IF($L122="","",IF($C122&gt;$M122,IF(Overview!$B$26=1,"uint8","uint8["&amp;Overview!$B$26&amp;"]"),IFERROR(INDEX(Fields!$E$5:$E$48,MATCH($D122,Fields!$A$5:$A$48,0)),"MISSING")))</f>
        <v/>
      </c>
      <c r="J122" s="21" t="str">
        <f>IF($L122="","",IF($C122&gt;$M122,"Fixed end-of-frame delimiter, value "&amp;Overview!$B$25&amp;".",IFERROR(INDEX(Fields!$G$5:$G$48,MATCH($D122,Fields!$A$5:$A$48,0)),"MISSING")))</f>
        <v/>
      </c>
      <c r="K122" s="21" t="str">
        <f>IF($L122="","",IF($C122&gt;$M122,"n/a",IFERROR(INDEX(Fields!$H$5:$H$48,MATCH($D122,Fields!$A$5:$A$48,0)),"MISSING")))</f>
        <v/>
      </c>
      <c r="L122" s="23" t="str">
        <f>IF(ROWS($L$5:L122)&gt;MAX('Packet Builder'!$O$5:$O$34),"",COUNTIF('Packet Builder'!$O$5:$O$34,"&lt;"&amp;ROWS($L$5:L122))+1)</f>
        <v/>
      </c>
      <c r="M122" s="23" t="str">
        <f>IF($L122="","",INDEX('Packet Builder'!$F$5:$F$34,$L122))</f>
        <v/>
      </c>
    </row>
    <row r="123" spans="1:13" x14ac:dyDescent="0.35">
      <c r="A123" s="21" t="str">
        <f>IF($L123="","",INDEX('Packet Builder'!$A$5:$A$34,$L123))</f>
        <v/>
      </c>
      <c r="B123" s="21" t="str">
        <f>IF($L123="","",INDEX('Packet Builder'!$B$5:$B$34,$L123))</f>
        <v/>
      </c>
      <c r="C123" s="22" t="str">
        <f>IF($L123="","",ROWS($L$5:L123)-(INDEX('Packet Builder'!$O$5:$O$34,$L123)-$M123-1))</f>
        <v/>
      </c>
      <c r="D123" s="22" t="str">
        <f>IF($L123="","",IF($C123&gt;$M123,"EOF",IFERROR(VALUE(TRIM(MID(SUBSTITUTE(INDEX('Packet Builder'!$P$5:$P$34,$L123),",",REPT(" ",LEN(INDEX('Packet Builder'!$P$5:$P$34,$L123)))),($C123-1)*LEN(INDEX('Packet Builder'!$P$5:$P$34,$L123))+1,LEN(INDEX('Packet Builder'!$P$5:$P$34,$L123))))),"ERR")))</f>
        <v/>
      </c>
      <c r="E123" s="21" t="str">
        <f>IF($L123="","",IF($C123&gt;$M123,"End of Frame Delimiter",IFERROR(INDEX(Fields!$B$5:$B$48,MATCH($D123,Fields!$A$5:$A$48,0)),"MISSING")))</f>
        <v/>
      </c>
      <c r="F123" s="22" t="str">
        <f>IF($L123="","",SUMIF($L$5:L123,L123,$G$5:G123)-G123)</f>
        <v/>
      </c>
      <c r="G123" s="22" t="str">
        <f>IF($L123="","",IF($C123&gt;$M123,Overview!$B$26,IFERROR(INDEX(Fields!$F$5:$F$48,MATCH($D123,Fields!$A$5:$A$48,0)),0)))</f>
        <v/>
      </c>
      <c r="H123" s="22" t="str">
        <f t="shared" si="1"/>
        <v/>
      </c>
      <c r="I123" s="21" t="str">
        <f>IF($L123="","",IF($C123&gt;$M123,IF(Overview!$B$26=1,"uint8","uint8["&amp;Overview!$B$26&amp;"]"),IFERROR(INDEX(Fields!$E$5:$E$48,MATCH($D123,Fields!$A$5:$A$48,0)),"MISSING")))</f>
        <v/>
      </c>
      <c r="J123" s="21" t="str">
        <f>IF($L123="","",IF($C123&gt;$M123,"Fixed end-of-frame delimiter, value "&amp;Overview!$B$25&amp;".",IFERROR(INDEX(Fields!$G$5:$G$48,MATCH($D123,Fields!$A$5:$A$48,0)),"MISSING")))</f>
        <v/>
      </c>
      <c r="K123" s="21" t="str">
        <f>IF($L123="","",IF($C123&gt;$M123,"n/a",IFERROR(INDEX(Fields!$H$5:$H$48,MATCH($D123,Fields!$A$5:$A$48,0)),"MISSING")))</f>
        <v/>
      </c>
      <c r="L123" s="23" t="str">
        <f>IF(ROWS($L$5:L123)&gt;MAX('Packet Builder'!$O$5:$O$34),"",COUNTIF('Packet Builder'!$O$5:$O$34,"&lt;"&amp;ROWS($L$5:L123))+1)</f>
        <v/>
      </c>
      <c r="M123" s="23" t="str">
        <f>IF($L123="","",INDEX('Packet Builder'!$F$5:$F$34,$L123))</f>
        <v/>
      </c>
    </row>
    <row r="124" spans="1:13" x14ac:dyDescent="0.35">
      <c r="A124" s="21" t="str">
        <f>IF($L124="","",INDEX('Packet Builder'!$A$5:$A$34,$L124))</f>
        <v/>
      </c>
      <c r="B124" s="21" t="str">
        <f>IF($L124="","",INDEX('Packet Builder'!$B$5:$B$34,$L124))</f>
        <v/>
      </c>
      <c r="C124" s="22" t="str">
        <f>IF($L124="","",ROWS($L$5:L124)-(INDEX('Packet Builder'!$O$5:$O$34,$L124)-$M124-1))</f>
        <v/>
      </c>
      <c r="D124" s="22" t="str">
        <f>IF($L124="","",IF($C124&gt;$M124,"EOF",IFERROR(VALUE(TRIM(MID(SUBSTITUTE(INDEX('Packet Builder'!$P$5:$P$34,$L124),",",REPT(" ",LEN(INDEX('Packet Builder'!$P$5:$P$34,$L124)))),($C124-1)*LEN(INDEX('Packet Builder'!$P$5:$P$34,$L124))+1,LEN(INDEX('Packet Builder'!$P$5:$P$34,$L124))))),"ERR")))</f>
        <v/>
      </c>
      <c r="E124" s="21" t="str">
        <f>IF($L124="","",IF($C124&gt;$M124,"End of Frame Delimiter",IFERROR(INDEX(Fields!$B$5:$B$48,MATCH($D124,Fields!$A$5:$A$48,0)),"MISSING")))</f>
        <v/>
      </c>
      <c r="F124" s="22" t="str">
        <f>IF($L124="","",SUMIF($L$5:L124,L124,$G$5:G124)-G124)</f>
        <v/>
      </c>
      <c r="G124" s="22" t="str">
        <f>IF($L124="","",IF($C124&gt;$M124,Overview!$B$26,IFERROR(INDEX(Fields!$F$5:$F$48,MATCH($D124,Fields!$A$5:$A$48,0)),0)))</f>
        <v/>
      </c>
      <c r="H124" s="22" t="str">
        <f t="shared" si="1"/>
        <v/>
      </c>
      <c r="I124" s="21" t="str">
        <f>IF($L124="","",IF($C124&gt;$M124,IF(Overview!$B$26=1,"uint8","uint8["&amp;Overview!$B$26&amp;"]"),IFERROR(INDEX(Fields!$E$5:$E$48,MATCH($D124,Fields!$A$5:$A$48,0)),"MISSING")))</f>
        <v/>
      </c>
      <c r="J124" s="21" t="str">
        <f>IF($L124="","",IF($C124&gt;$M124,"Fixed end-of-frame delimiter, value "&amp;Overview!$B$25&amp;".",IFERROR(INDEX(Fields!$G$5:$G$48,MATCH($D124,Fields!$A$5:$A$48,0)),"MISSING")))</f>
        <v/>
      </c>
      <c r="K124" s="21" t="str">
        <f>IF($L124="","",IF($C124&gt;$M124,"n/a",IFERROR(INDEX(Fields!$H$5:$H$48,MATCH($D124,Fields!$A$5:$A$48,0)),"MISSING")))</f>
        <v/>
      </c>
      <c r="L124" s="23" t="str">
        <f>IF(ROWS($L$5:L124)&gt;MAX('Packet Builder'!$O$5:$O$34),"",COUNTIF('Packet Builder'!$O$5:$O$34,"&lt;"&amp;ROWS($L$5:L124))+1)</f>
        <v/>
      </c>
      <c r="M124" s="23" t="str">
        <f>IF($L124="","",INDEX('Packet Builder'!$F$5:$F$34,$L124))</f>
        <v/>
      </c>
    </row>
    <row r="125" spans="1:13" x14ac:dyDescent="0.35">
      <c r="A125" s="21" t="str">
        <f>IF($L125="","",INDEX('Packet Builder'!$A$5:$A$34,$L125))</f>
        <v/>
      </c>
      <c r="B125" s="21" t="str">
        <f>IF($L125="","",INDEX('Packet Builder'!$B$5:$B$34,$L125))</f>
        <v/>
      </c>
      <c r="C125" s="22" t="str">
        <f>IF($L125="","",ROWS($L$5:L125)-(INDEX('Packet Builder'!$O$5:$O$34,$L125)-$M125-1))</f>
        <v/>
      </c>
      <c r="D125" s="22" t="str">
        <f>IF($L125="","",IF($C125&gt;$M125,"EOF",IFERROR(VALUE(TRIM(MID(SUBSTITUTE(INDEX('Packet Builder'!$P$5:$P$34,$L125),",",REPT(" ",LEN(INDEX('Packet Builder'!$P$5:$P$34,$L125)))),($C125-1)*LEN(INDEX('Packet Builder'!$P$5:$P$34,$L125))+1,LEN(INDEX('Packet Builder'!$P$5:$P$34,$L125))))),"ERR")))</f>
        <v/>
      </c>
      <c r="E125" s="21" t="str">
        <f>IF($L125="","",IF($C125&gt;$M125,"End of Frame Delimiter",IFERROR(INDEX(Fields!$B$5:$B$48,MATCH($D125,Fields!$A$5:$A$48,0)),"MISSING")))</f>
        <v/>
      </c>
      <c r="F125" s="22" t="str">
        <f>IF($L125="","",SUMIF($L$5:L125,L125,$G$5:G125)-G125)</f>
        <v/>
      </c>
      <c r="G125" s="22" t="str">
        <f>IF($L125="","",IF($C125&gt;$M125,Overview!$B$26,IFERROR(INDEX(Fields!$F$5:$F$48,MATCH($D125,Fields!$A$5:$A$48,0)),0)))</f>
        <v/>
      </c>
      <c r="H125" s="22" t="str">
        <f t="shared" si="1"/>
        <v/>
      </c>
      <c r="I125" s="21" t="str">
        <f>IF($L125="","",IF($C125&gt;$M125,IF(Overview!$B$26=1,"uint8","uint8["&amp;Overview!$B$26&amp;"]"),IFERROR(INDEX(Fields!$E$5:$E$48,MATCH($D125,Fields!$A$5:$A$48,0)),"MISSING")))</f>
        <v/>
      </c>
      <c r="J125" s="21" t="str">
        <f>IF($L125="","",IF($C125&gt;$M125,"Fixed end-of-frame delimiter, value "&amp;Overview!$B$25&amp;".",IFERROR(INDEX(Fields!$G$5:$G$48,MATCH($D125,Fields!$A$5:$A$48,0)),"MISSING")))</f>
        <v/>
      </c>
      <c r="K125" s="21" t="str">
        <f>IF($L125="","",IF($C125&gt;$M125,"n/a",IFERROR(INDEX(Fields!$H$5:$H$48,MATCH($D125,Fields!$A$5:$A$48,0)),"MISSING")))</f>
        <v/>
      </c>
      <c r="L125" s="23" t="str">
        <f>IF(ROWS($L$5:L125)&gt;MAX('Packet Builder'!$O$5:$O$34),"",COUNTIF('Packet Builder'!$O$5:$O$34,"&lt;"&amp;ROWS($L$5:L125))+1)</f>
        <v/>
      </c>
      <c r="M125" s="23" t="str">
        <f>IF($L125="","",INDEX('Packet Builder'!$F$5:$F$34,$L125))</f>
        <v/>
      </c>
    </row>
    <row r="126" spans="1:13" x14ac:dyDescent="0.35">
      <c r="A126" s="21" t="str">
        <f>IF($L126="","",INDEX('Packet Builder'!$A$5:$A$34,$L126))</f>
        <v/>
      </c>
      <c r="B126" s="21" t="str">
        <f>IF($L126="","",INDEX('Packet Builder'!$B$5:$B$34,$L126))</f>
        <v/>
      </c>
      <c r="C126" s="22" t="str">
        <f>IF($L126="","",ROWS($L$5:L126)-(INDEX('Packet Builder'!$O$5:$O$34,$L126)-$M126-1))</f>
        <v/>
      </c>
      <c r="D126" s="22" t="str">
        <f>IF($L126="","",IF($C126&gt;$M126,"EOF",IFERROR(VALUE(TRIM(MID(SUBSTITUTE(INDEX('Packet Builder'!$P$5:$P$34,$L126),",",REPT(" ",LEN(INDEX('Packet Builder'!$P$5:$P$34,$L126)))),($C126-1)*LEN(INDEX('Packet Builder'!$P$5:$P$34,$L126))+1,LEN(INDEX('Packet Builder'!$P$5:$P$34,$L126))))),"ERR")))</f>
        <v/>
      </c>
      <c r="E126" s="21" t="str">
        <f>IF($L126="","",IF($C126&gt;$M126,"End of Frame Delimiter",IFERROR(INDEX(Fields!$B$5:$B$48,MATCH($D126,Fields!$A$5:$A$48,0)),"MISSING")))</f>
        <v/>
      </c>
      <c r="F126" s="22" t="str">
        <f>IF($L126="","",SUMIF($L$5:L126,L126,$G$5:G126)-G126)</f>
        <v/>
      </c>
      <c r="G126" s="22" t="str">
        <f>IF($L126="","",IF($C126&gt;$M126,Overview!$B$26,IFERROR(INDEX(Fields!$F$5:$F$48,MATCH($D126,Fields!$A$5:$A$48,0)),0)))</f>
        <v/>
      </c>
      <c r="H126" s="22" t="str">
        <f t="shared" si="1"/>
        <v/>
      </c>
      <c r="I126" s="21" t="str">
        <f>IF($L126="","",IF($C126&gt;$M126,IF(Overview!$B$26=1,"uint8","uint8["&amp;Overview!$B$26&amp;"]"),IFERROR(INDEX(Fields!$E$5:$E$48,MATCH($D126,Fields!$A$5:$A$48,0)),"MISSING")))</f>
        <v/>
      </c>
      <c r="J126" s="21" t="str">
        <f>IF($L126="","",IF($C126&gt;$M126,"Fixed end-of-frame delimiter, value "&amp;Overview!$B$25&amp;".",IFERROR(INDEX(Fields!$G$5:$G$48,MATCH($D126,Fields!$A$5:$A$48,0)),"MISSING")))</f>
        <v/>
      </c>
      <c r="K126" s="21" t="str">
        <f>IF($L126="","",IF($C126&gt;$M126,"n/a",IFERROR(INDEX(Fields!$H$5:$H$48,MATCH($D126,Fields!$A$5:$A$48,0)),"MISSING")))</f>
        <v/>
      </c>
      <c r="L126" s="23" t="str">
        <f>IF(ROWS($L$5:L126)&gt;MAX('Packet Builder'!$O$5:$O$34),"",COUNTIF('Packet Builder'!$O$5:$O$34,"&lt;"&amp;ROWS($L$5:L126))+1)</f>
        <v/>
      </c>
      <c r="M126" s="23" t="str">
        <f>IF($L126="","",INDEX('Packet Builder'!$F$5:$F$34,$L126))</f>
        <v/>
      </c>
    </row>
    <row r="127" spans="1:13" x14ac:dyDescent="0.35">
      <c r="A127" s="21" t="str">
        <f>IF($L127="","",INDEX('Packet Builder'!$A$5:$A$34,$L127))</f>
        <v/>
      </c>
      <c r="B127" s="21" t="str">
        <f>IF($L127="","",INDEX('Packet Builder'!$B$5:$B$34,$L127))</f>
        <v/>
      </c>
      <c r="C127" s="22" t="str">
        <f>IF($L127="","",ROWS($L$5:L127)-(INDEX('Packet Builder'!$O$5:$O$34,$L127)-$M127-1))</f>
        <v/>
      </c>
      <c r="D127" s="22" t="str">
        <f>IF($L127="","",IF($C127&gt;$M127,"EOF",IFERROR(VALUE(TRIM(MID(SUBSTITUTE(INDEX('Packet Builder'!$P$5:$P$34,$L127),",",REPT(" ",LEN(INDEX('Packet Builder'!$P$5:$P$34,$L127)))),($C127-1)*LEN(INDEX('Packet Builder'!$P$5:$P$34,$L127))+1,LEN(INDEX('Packet Builder'!$P$5:$P$34,$L127))))),"ERR")))</f>
        <v/>
      </c>
      <c r="E127" s="21" t="str">
        <f>IF($L127="","",IF($C127&gt;$M127,"End of Frame Delimiter",IFERROR(INDEX(Fields!$B$5:$B$48,MATCH($D127,Fields!$A$5:$A$48,0)),"MISSING")))</f>
        <v/>
      </c>
      <c r="F127" s="22" t="str">
        <f>IF($L127="","",SUMIF($L$5:L127,L127,$G$5:G127)-G127)</f>
        <v/>
      </c>
      <c r="G127" s="22" t="str">
        <f>IF($L127="","",IF($C127&gt;$M127,Overview!$B$26,IFERROR(INDEX(Fields!$F$5:$F$48,MATCH($D127,Fields!$A$5:$A$48,0)),0)))</f>
        <v/>
      </c>
      <c r="H127" s="22" t="str">
        <f t="shared" si="1"/>
        <v/>
      </c>
      <c r="I127" s="21" t="str">
        <f>IF($L127="","",IF($C127&gt;$M127,IF(Overview!$B$26=1,"uint8","uint8["&amp;Overview!$B$26&amp;"]"),IFERROR(INDEX(Fields!$E$5:$E$48,MATCH($D127,Fields!$A$5:$A$48,0)),"MISSING")))</f>
        <v/>
      </c>
      <c r="J127" s="21" t="str">
        <f>IF($L127="","",IF($C127&gt;$M127,"Fixed end-of-frame delimiter, value "&amp;Overview!$B$25&amp;".",IFERROR(INDEX(Fields!$G$5:$G$48,MATCH($D127,Fields!$A$5:$A$48,0)),"MISSING")))</f>
        <v/>
      </c>
      <c r="K127" s="21" t="str">
        <f>IF($L127="","",IF($C127&gt;$M127,"n/a",IFERROR(INDEX(Fields!$H$5:$H$48,MATCH($D127,Fields!$A$5:$A$48,0)),"MISSING")))</f>
        <v/>
      </c>
      <c r="L127" s="23" t="str">
        <f>IF(ROWS($L$5:L127)&gt;MAX('Packet Builder'!$O$5:$O$34),"",COUNTIF('Packet Builder'!$O$5:$O$34,"&lt;"&amp;ROWS($L$5:L127))+1)</f>
        <v/>
      </c>
      <c r="M127" s="23" t="str">
        <f>IF($L127="","",INDEX('Packet Builder'!$F$5:$F$34,$L127))</f>
        <v/>
      </c>
    </row>
    <row r="128" spans="1:13" x14ac:dyDescent="0.35">
      <c r="A128" s="21" t="str">
        <f>IF($L128="","",INDEX('Packet Builder'!$A$5:$A$34,$L128))</f>
        <v/>
      </c>
      <c r="B128" s="21" t="str">
        <f>IF($L128="","",INDEX('Packet Builder'!$B$5:$B$34,$L128))</f>
        <v/>
      </c>
      <c r="C128" s="22" t="str">
        <f>IF($L128="","",ROWS($L$5:L128)-(INDEX('Packet Builder'!$O$5:$O$34,$L128)-$M128-1))</f>
        <v/>
      </c>
      <c r="D128" s="22" t="str">
        <f>IF($L128="","",IF($C128&gt;$M128,"EOF",IFERROR(VALUE(TRIM(MID(SUBSTITUTE(INDEX('Packet Builder'!$P$5:$P$34,$L128),",",REPT(" ",LEN(INDEX('Packet Builder'!$P$5:$P$34,$L128)))),($C128-1)*LEN(INDEX('Packet Builder'!$P$5:$P$34,$L128))+1,LEN(INDEX('Packet Builder'!$P$5:$P$34,$L128))))),"ERR")))</f>
        <v/>
      </c>
      <c r="E128" s="21" t="str">
        <f>IF($L128="","",IF($C128&gt;$M128,"End of Frame Delimiter",IFERROR(INDEX(Fields!$B$5:$B$48,MATCH($D128,Fields!$A$5:$A$48,0)),"MISSING")))</f>
        <v/>
      </c>
      <c r="F128" s="22" t="str">
        <f>IF($L128="","",SUMIF($L$5:L128,L128,$G$5:G128)-G128)</f>
        <v/>
      </c>
      <c r="G128" s="22" t="str">
        <f>IF($L128="","",IF($C128&gt;$M128,Overview!$B$26,IFERROR(INDEX(Fields!$F$5:$F$48,MATCH($D128,Fields!$A$5:$A$48,0)),0)))</f>
        <v/>
      </c>
      <c r="H128" s="22" t="str">
        <f t="shared" si="1"/>
        <v/>
      </c>
      <c r="I128" s="21" t="str">
        <f>IF($L128="","",IF($C128&gt;$M128,IF(Overview!$B$26=1,"uint8","uint8["&amp;Overview!$B$26&amp;"]"),IFERROR(INDEX(Fields!$E$5:$E$48,MATCH($D128,Fields!$A$5:$A$48,0)),"MISSING")))</f>
        <v/>
      </c>
      <c r="J128" s="21" t="str">
        <f>IF($L128="","",IF($C128&gt;$M128,"Fixed end-of-frame delimiter, value "&amp;Overview!$B$25&amp;".",IFERROR(INDEX(Fields!$G$5:$G$48,MATCH($D128,Fields!$A$5:$A$48,0)),"MISSING")))</f>
        <v/>
      </c>
      <c r="K128" s="21" t="str">
        <f>IF($L128="","",IF($C128&gt;$M128,"n/a",IFERROR(INDEX(Fields!$H$5:$H$48,MATCH($D128,Fields!$A$5:$A$48,0)),"MISSING")))</f>
        <v/>
      </c>
      <c r="L128" s="23" t="str">
        <f>IF(ROWS($L$5:L128)&gt;MAX('Packet Builder'!$O$5:$O$34),"",COUNTIF('Packet Builder'!$O$5:$O$34,"&lt;"&amp;ROWS($L$5:L128))+1)</f>
        <v/>
      </c>
      <c r="M128" s="23" t="str">
        <f>IF($L128="","",INDEX('Packet Builder'!$F$5:$F$34,$L128))</f>
        <v/>
      </c>
    </row>
    <row r="129" spans="1:13" x14ac:dyDescent="0.35">
      <c r="A129" s="21" t="str">
        <f>IF($L129="","",INDEX('Packet Builder'!$A$5:$A$34,$L129))</f>
        <v/>
      </c>
      <c r="B129" s="21" t="str">
        <f>IF($L129="","",INDEX('Packet Builder'!$B$5:$B$34,$L129))</f>
        <v/>
      </c>
      <c r="C129" s="22" t="str">
        <f>IF($L129="","",ROWS($L$5:L129)-(INDEX('Packet Builder'!$O$5:$O$34,$L129)-$M129-1))</f>
        <v/>
      </c>
      <c r="D129" s="22" t="str">
        <f>IF($L129="","",IF($C129&gt;$M129,"EOF",IFERROR(VALUE(TRIM(MID(SUBSTITUTE(INDEX('Packet Builder'!$P$5:$P$34,$L129),",",REPT(" ",LEN(INDEX('Packet Builder'!$P$5:$P$34,$L129)))),($C129-1)*LEN(INDEX('Packet Builder'!$P$5:$P$34,$L129))+1,LEN(INDEX('Packet Builder'!$P$5:$P$34,$L129))))),"ERR")))</f>
        <v/>
      </c>
      <c r="E129" s="21" t="str">
        <f>IF($L129="","",IF($C129&gt;$M129,"End of Frame Delimiter",IFERROR(INDEX(Fields!$B$5:$B$48,MATCH($D129,Fields!$A$5:$A$48,0)),"MISSING")))</f>
        <v/>
      </c>
      <c r="F129" s="22" t="str">
        <f>IF($L129="","",SUMIF($L$5:L129,L129,$G$5:G129)-G129)</f>
        <v/>
      </c>
      <c r="G129" s="22" t="str">
        <f>IF($L129="","",IF($C129&gt;$M129,Overview!$B$26,IFERROR(INDEX(Fields!$F$5:$F$48,MATCH($D129,Fields!$A$5:$A$48,0)),0)))</f>
        <v/>
      </c>
      <c r="H129" s="22" t="str">
        <f t="shared" si="1"/>
        <v/>
      </c>
      <c r="I129" s="21" t="str">
        <f>IF($L129="","",IF($C129&gt;$M129,IF(Overview!$B$26=1,"uint8","uint8["&amp;Overview!$B$26&amp;"]"),IFERROR(INDEX(Fields!$E$5:$E$48,MATCH($D129,Fields!$A$5:$A$48,0)),"MISSING")))</f>
        <v/>
      </c>
      <c r="J129" s="21" t="str">
        <f>IF($L129="","",IF($C129&gt;$M129,"Fixed end-of-frame delimiter, value "&amp;Overview!$B$25&amp;".",IFERROR(INDEX(Fields!$G$5:$G$48,MATCH($D129,Fields!$A$5:$A$48,0)),"MISSING")))</f>
        <v/>
      </c>
      <c r="K129" s="21" t="str">
        <f>IF($L129="","",IF($C129&gt;$M129,"n/a",IFERROR(INDEX(Fields!$H$5:$H$48,MATCH($D129,Fields!$A$5:$A$48,0)),"MISSING")))</f>
        <v/>
      </c>
      <c r="L129" s="23" t="str">
        <f>IF(ROWS($L$5:L129)&gt;MAX('Packet Builder'!$O$5:$O$34),"",COUNTIF('Packet Builder'!$O$5:$O$34,"&lt;"&amp;ROWS($L$5:L129))+1)</f>
        <v/>
      </c>
      <c r="M129" s="23" t="str">
        <f>IF($L129="","",INDEX('Packet Builder'!$F$5:$F$34,$L129))</f>
        <v/>
      </c>
    </row>
    <row r="130" spans="1:13" x14ac:dyDescent="0.35">
      <c r="A130" s="21" t="str">
        <f>IF($L130="","",INDEX('Packet Builder'!$A$5:$A$34,$L130))</f>
        <v/>
      </c>
      <c r="B130" s="21" t="str">
        <f>IF($L130="","",INDEX('Packet Builder'!$B$5:$B$34,$L130))</f>
        <v/>
      </c>
      <c r="C130" s="22" t="str">
        <f>IF($L130="","",ROWS($L$5:L130)-(INDEX('Packet Builder'!$O$5:$O$34,$L130)-$M130-1))</f>
        <v/>
      </c>
      <c r="D130" s="22" t="str">
        <f>IF($L130="","",IF($C130&gt;$M130,"EOF",IFERROR(VALUE(TRIM(MID(SUBSTITUTE(INDEX('Packet Builder'!$P$5:$P$34,$L130),",",REPT(" ",LEN(INDEX('Packet Builder'!$P$5:$P$34,$L130)))),($C130-1)*LEN(INDEX('Packet Builder'!$P$5:$P$34,$L130))+1,LEN(INDEX('Packet Builder'!$P$5:$P$34,$L130))))),"ERR")))</f>
        <v/>
      </c>
      <c r="E130" s="21" t="str">
        <f>IF($L130="","",IF($C130&gt;$M130,"End of Frame Delimiter",IFERROR(INDEX(Fields!$B$5:$B$48,MATCH($D130,Fields!$A$5:$A$48,0)),"MISSING")))</f>
        <v/>
      </c>
      <c r="F130" s="22" t="str">
        <f>IF($L130="","",SUMIF($L$5:L130,L130,$G$5:G130)-G130)</f>
        <v/>
      </c>
      <c r="G130" s="22" t="str">
        <f>IF($L130="","",IF($C130&gt;$M130,Overview!$B$26,IFERROR(INDEX(Fields!$F$5:$F$48,MATCH($D130,Fields!$A$5:$A$48,0)),0)))</f>
        <v/>
      </c>
      <c r="H130" s="22" t="str">
        <f t="shared" si="1"/>
        <v/>
      </c>
      <c r="I130" s="21" t="str">
        <f>IF($L130="","",IF($C130&gt;$M130,IF(Overview!$B$26=1,"uint8","uint8["&amp;Overview!$B$26&amp;"]"),IFERROR(INDEX(Fields!$E$5:$E$48,MATCH($D130,Fields!$A$5:$A$48,0)),"MISSING")))</f>
        <v/>
      </c>
      <c r="J130" s="21" t="str">
        <f>IF($L130="","",IF($C130&gt;$M130,"Fixed end-of-frame delimiter, value "&amp;Overview!$B$25&amp;".",IFERROR(INDEX(Fields!$G$5:$G$48,MATCH($D130,Fields!$A$5:$A$48,0)),"MISSING")))</f>
        <v/>
      </c>
      <c r="K130" s="21" t="str">
        <f>IF($L130="","",IF($C130&gt;$M130,"n/a",IFERROR(INDEX(Fields!$H$5:$H$48,MATCH($D130,Fields!$A$5:$A$48,0)),"MISSING")))</f>
        <v/>
      </c>
      <c r="L130" s="23" t="str">
        <f>IF(ROWS($L$5:L130)&gt;MAX('Packet Builder'!$O$5:$O$34),"",COUNTIF('Packet Builder'!$O$5:$O$34,"&lt;"&amp;ROWS($L$5:L130))+1)</f>
        <v/>
      </c>
      <c r="M130" s="23" t="str">
        <f>IF($L130="","",INDEX('Packet Builder'!$F$5:$F$34,$L130))</f>
        <v/>
      </c>
    </row>
    <row r="131" spans="1:13" x14ac:dyDescent="0.35">
      <c r="A131" s="21" t="str">
        <f>IF($L131="","",INDEX('Packet Builder'!$A$5:$A$34,$L131))</f>
        <v/>
      </c>
      <c r="B131" s="21" t="str">
        <f>IF($L131="","",INDEX('Packet Builder'!$B$5:$B$34,$L131))</f>
        <v/>
      </c>
      <c r="C131" s="22" t="str">
        <f>IF($L131="","",ROWS($L$5:L131)-(INDEX('Packet Builder'!$O$5:$O$34,$L131)-$M131-1))</f>
        <v/>
      </c>
      <c r="D131" s="22" t="str">
        <f>IF($L131="","",IF($C131&gt;$M131,"EOF",IFERROR(VALUE(TRIM(MID(SUBSTITUTE(INDEX('Packet Builder'!$P$5:$P$34,$L131),",",REPT(" ",LEN(INDEX('Packet Builder'!$P$5:$P$34,$L131)))),($C131-1)*LEN(INDEX('Packet Builder'!$P$5:$P$34,$L131))+1,LEN(INDEX('Packet Builder'!$P$5:$P$34,$L131))))),"ERR")))</f>
        <v/>
      </c>
      <c r="E131" s="21" t="str">
        <f>IF($L131="","",IF($C131&gt;$M131,"End of Frame Delimiter",IFERROR(INDEX(Fields!$B$5:$B$48,MATCH($D131,Fields!$A$5:$A$48,0)),"MISSING")))</f>
        <v/>
      </c>
      <c r="F131" s="22" t="str">
        <f>IF($L131="","",SUMIF($L$5:L131,L131,$G$5:G131)-G131)</f>
        <v/>
      </c>
      <c r="G131" s="22" t="str">
        <f>IF($L131="","",IF($C131&gt;$M131,Overview!$B$26,IFERROR(INDEX(Fields!$F$5:$F$48,MATCH($D131,Fields!$A$5:$A$48,0)),0)))</f>
        <v/>
      </c>
      <c r="H131" s="22" t="str">
        <f t="shared" si="1"/>
        <v/>
      </c>
      <c r="I131" s="21" t="str">
        <f>IF($L131="","",IF($C131&gt;$M131,IF(Overview!$B$26=1,"uint8","uint8["&amp;Overview!$B$26&amp;"]"),IFERROR(INDEX(Fields!$E$5:$E$48,MATCH($D131,Fields!$A$5:$A$48,0)),"MISSING")))</f>
        <v/>
      </c>
      <c r="J131" s="21" t="str">
        <f>IF($L131="","",IF($C131&gt;$M131,"Fixed end-of-frame delimiter, value "&amp;Overview!$B$25&amp;".",IFERROR(INDEX(Fields!$G$5:$G$48,MATCH($D131,Fields!$A$5:$A$48,0)),"MISSING")))</f>
        <v/>
      </c>
      <c r="K131" s="21" t="str">
        <f>IF($L131="","",IF($C131&gt;$M131,"n/a",IFERROR(INDEX(Fields!$H$5:$H$48,MATCH($D131,Fields!$A$5:$A$48,0)),"MISSING")))</f>
        <v/>
      </c>
      <c r="L131" s="23" t="str">
        <f>IF(ROWS($L$5:L131)&gt;MAX('Packet Builder'!$O$5:$O$34),"",COUNTIF('Packet Builder'!$O$5:$O$34,"&lt;"&amp;ROWS($L$5:L131))+1)</f>
        <v/>
      </c>
      <c r="M131" s="23" t="str">
        <f>IF($L131="","",INDEX('Packet Builder'!$F$5:$F$34,$L131))</f>
        <v/>
      </c>
    </row>
    <row r="132" spans="1:13" x14ac:dyDescent="0.35">
      <c r="A132" s="21" t="str">
        <f>IF($L132="","",INDEX('Packet Builder'!$A$5:$A$34,$L132))</f>
        <v/>
      </c>
      <c r="B132" s="21" t="str">
        <f>IF($L132="","",INDEX('Packet Builder'!$B$5:$B$34,$L132))</f>
        <v/>
      </c>
      <c r="C132" s="22" t="str">
        <f>IF($L132="","",ROWS($L$5:L132)-(INDEX('Packet Builder'!$O$5:$O$34,$L132)-$M132-1))</f>
        <v/>
      </c>
      <c r="D132" s="22" t="str">
        <f>IF($L132="","",IF($C132&gt;$M132,"EOF",IFERROR(VALUE(TRIM(MID(SUBSTITUTE(INDEX('Packet Builder'!$P$5:$P$34,$L132),",",REPT(" ",LEN(INDEX('Packet Builder'!$P$5:$P$34,$L132)))),($C132-1)*LEN(INDEX('Packet Builder'!$P$5:$P$34,$L132))+1,LEN(INDEX('Packet Builder'!$P$5:$P$34,$L132))))),"ERR")))</f>
        <v/>
      </c>
      <c r="E132" s="21" t="str">
        <f>IF($L132="","",IF($C132&gt;$M132,"End of Frame Delimiter",IFERROR(INDEX(Fields!$B$5:$B$48,MATCH($D132,Fields!$A$5:$A$48,0)),"MISSING")))</f>
        <v/>
      </c>
      <c r="F132" s="22" t="str">
        <f>IF($L132="","",SUMIF($L$5:L132,L132,$G$5:G132)-G132)</f>
        <v/>
      </c>
      <c r="G132" s="22" t="str">
        <f>IF($L132="","",IF($C132&gt;$M132,Overview!$B$26,IFERROR(INDEX(Fields!$F$5:$F$48,MATCH($D132,Fields!$A$5:$A$48,0)),0)))</f>
        <v/>
      </c>
      <c r="H132" s="22" t="str">
        <f t="shared" si="1"/>
        <v/>
      </c>
      <c r="I132" s="21" t="str">
        <f>IF($L132="","",IF($C132&gt;$M132,IF(Overview!$B$26=1,"uint8","uint8["&amp;Overview!$B$26&amp;"]"),IFERROR(INDEX(Fields!$E$5:$E$48,MATCH($D132,Fields!$A$5:$A$48,0)),"MISSING")))</f>
        <v/>
      </c>
      <c r="J132" s="21" t="str">
        <f>IF($L132="","",IF($C132&gt;$M132,"Fixed end-of-frame delimiter, value "&amp;Overview!$B$25&amp;".",IFERROR(INDEX(Fields!$G$5:$G$48,MATCH($D132,Fields!$A$5:$A$48,0)),"MISSING")))</f>
        <v/>
      </c>
      <c r="K132" s="21" t="str">
        <f>IF($L132="","",IF($C132&gt;$M132,"n/a",IFERROR(INDEX(Fields!$H$5:$H$48,MATCH($D132,Fields!$A$5:$A$48,0)),"MISSING")))</f>
        <v/>
      </c>
      <c r="L132" s="23" t="str">
        <f>IF(ROWS($L$5:L132)&gt;MAX('Packet Builder'!$O$5:$O$34),"",COUNTIF('Packet Builder'!$O$5:$O$34,"&lt;"&amp;ROWS($L$5:L132))+1)</f>
        <v/>
      </c>
      <c r="M132" s="23" t="str">
        <f>IF($L132="","",INDEX('Packet Builder'!$F$5:$F$34,$L132))</f>
        <v/>
      </c>
    </row>
    <row r="133" spans="1:13" x14ac:dyDescent="0.35">
      <c r="A133" s="21" t="str">
        <f>IF($L133="","",INDEX('Packet Builder'!$A$5:$A$34,$L133))</f>
        <v/>
      </c>
      <c r="B133" s="21" t="str">
        <f>IF($L133="","",INDEX('Packet Builder'!$B$5:$B$34,$L133))</f>
        <v/>
      </c>
      <c r="C133" s="22" t="str">
        <f>IF($L133="","",ROWS($L$5:L133)-(INDEX('Packet Builder'!$O$5:$O$34,$L133)-$M133-1))</f>
        <v/>
      </c>
      <c r="D133" s="22" t="str">
        <f>IF($L133="","",IF($C133&gt;$M133,"EOF",IFERROR(VALUE(TRIM(MID(SUBSTITUTE(INDEX('Packet Builder'!$P$5:$P$34,$L133),",",REPT(" ",LEN(INDEX('Packet Builder'!$P$5:$P$34,$L133)))),($C133-1)*LEN(INDEX('Packet Builder'!$P$5:$P$34,$L133))+1,LEN(INDEX('Packet Builder'!$P$5:$P$34,$L133))))),"ERR")))</f>
        <v/>
      </c>
      <c r="E133" s="21" t="str">
        <f>IF($L133="","",IF($C133&gt;$M133,"End of Frame Delimiter",IFERROR(INDEX(Fields!$B$5:$B$48,MATCH($D133,Fields!$A$5:$A$48,0)),"MISSING")))</f>
        <v/>
      </c>
      <c r="F133" s="22" t="str">
        <f>IF($L133="","",SUMIF($L$5:L133,L133,$G$5:G133)-G133)</f>
        <v/>
      </c>
      <c r="G133" s="22" t="str">
        <f>IF($L133="","",IF($C133&gt;$M133,Overview!$B$26,IFERROR(INDEX(Fields!$F$5:$F$48,MATCH($D133,Fields!$A$5:$A$48,0)),0)))</f>
        <v/>
      </c>
      <c r="H133" s="22" t="str">
        <f t="shared" ref="H133:H196" si="2">IF($L133="","",F133+G133-1)</f>
        <v/>
      </c>
      <c r="I133" s="21" t="str">
        <f>IF($L133="","",IF($C133&gt;$M133,IF(Overview!$B$26=1,"uint8","uint8["&amp;Overview!$B$26&amp;"]"),IFERROR(INDEX(Fields!$E$5:$E$48,MATCH($D133,Fields!$A$5:$A$48,0)),"MISSING")))</f>
        <v/>
      </c>
      <c r="J133" s="21" t="str">
        <f>IF($L133="","",IF($C133&gt;$M133,"Fixed end-of-frame delimiter, value "&amp;Overview!$B$25&amp;".",IFERROR(INDEX(Fields!$G$5:$G$48,MATCH($D133,Fields!$A$5:$A$48,0)),"MISSING")))</f>
        <v/>
      </c>
      <c r="K133" s="21" t="str">
        <f>IF($L133="","",IF($C133&gt;$M133,"n/a",IFERROR(INDEX(Fields!$H$5:$H$48,MATCH($D133,Fields!$A$5:$A$48,0)),"MISSING")))</f>
        <v/>
      </c>
      <c r="L133" s="23" t="str">
        <f>IF(ROWS($L$5:L133)&gt;MAX('Packet Builder'!$O$5:$O$34),"",COUNTIF('Packet Builder'!$O$5:$O$34,"&lt;"&amp;ROWS($L$5:L133))+1)</f>
        <v/>
      </c>
      <c r="M133" s="23" t="str">
        <f>IF($L133="","",INDEX('Packet Builder'!$F$5:$F$34,$L133))</f>
        <v/>
      </c>
    </row>
    <row r="134" spans="1:13" x14ac:dyDescent="0.35">
      <c r="A134" s="21" t="str">
        <f>IF($L134="","",INDEX('Packet Builder'!$A$5:$A$34,$L134))</f>
        <v/>
      </c>
      <c r="B134" s="21" t="str">
        <f>IF($L134="","",INDEX('Packet Builder'!$B$5:$B$34,$L134))</f>
        <v/>
      </c>
      <c r="C134" s="22" t="str">
        <f>IF($L134="","",ROWS($L$5:L134)-(INDEX('Packet Builder'!$O$5:$O$34,$L134)-$M134-1))</f>
        <v/>
      </c>
      <c r="D134" s="22" t="str">
        <f>IF($L134="","",IF($C134&gt;$M134,"EOF",IFERROR(VALUE(TRIM(MID(SUBSTITUTE(INDEX('Packet Builder'!$P$5:$P$34,$L134),",",REPT(" ",LEN(INDEX('Packet Builder'!$P$5:$P$34,$L134)))),($C134-1)*LEN(INDEX('Packet Builder'!$P$5:$P$34,$L134))+1,LEN(INDEX('Packet Builder'!$P$5:$P$34,$L134))))),"ERR")))</f>
        <v/>
      </c>
      <c r="E134" s="21" t="str">
        <f>IF($L134="","",IF($C134&gt;$M134,"End of Frame Delimiter",IFERROR(INDEX(Fields!$B$5:$B$48,MATCH($D134,Fields!$A$5:$A$48,0)),"MISSING")))</f>
        <v/>
      </c>
      <c r="F134" s="22" t="str">
        <f>IF($L134="","",SUMIF($L$5:L134,L134,$G$5:G134)-G134)</f>
        <v/>
      </c>
      <c r="G134" s="22" t="str">
        <f>IF($L134="","",IF($C134&gt;$M134,Overview!$B$26,IFERROR(INDEX(Fields!$F$5:$F$48,MATCH($D134,Fields!$A$5:$A$48,0)),0)))</f>
        <v/>
      </c>
      <c r="H134" s="22" t="str">
        <f t="shared" si="2"/>
        <v/>
      </c>
      <c r="I134" s="21" t="str">
        <f>IF($L134="","",IF($C134&gt;$M134,IF(Overview!$B$26=1,"uint8","uint8["&amp;Overview!$B$26&amp;"]"),IFERROR(INDEX(Fields!$E$5:$E$48,MATCH($D134,Fields!$A$5:$A$48,0)),"MISSING")))</f>
        <v/>
      </c>
      <c r="J134" s="21" t="str">
        <f>IF($L134="","",IF($C134&gt;$M134,"Fixed end-of-frame delimiter, value "&amp;Overview!$B$25&amp;".",IFERROR(INDEX(Fields!$G$5:$G$48,MATCH($D134,Fields!$A$5:$A$48,0)),"MISSING")))</f>
        <v/>
      </c>
      <c r="K134" s="21" t="str">
        <f>IF($L134="","",IF($C134&gt;$M134,"n/a",IFERROR(INDEX(Fields!$H$5:$H$48,MATCH($D134,Fields!$A$5:$A$48,0)),"MISSING")))</f>
        <v/>
      </c>
      <c r="L134" s="23" t="str">
        <f>IF(ROWS($L$5:L134)&gt;MAX('Packet Builder'!$O$5:$O$34),"",COUNTIF('Packet Builder'!$O$5:$O$34,"&lt;"&amp;ROWS($L$5:L134))+1)</f>
        <v/>
      </c>
      <c r="M134" s="23" t="str">
        <f>IF($L134="","",INDEX('Packet Builder'!$F$5:$F$34,$L134))</f>
        <v/>
      </c>
    </row>
    <row r="135" spans="1:13" x14ac:dyDescent="0.35">
      <c r="A135" s="21" t="str">
        <f>IF($L135="","",INDEX('Packet Builder'!$A$5:$A$34,$L135))</f>
        <v/>
      </c>
      <c r="B135" s="21" t="str">
        <f>IF($L135="","",INDEX('Packet Builder'!$B$5:$B$34,$L135))</f>
        <v/>
      </c>
      <c r="C135" s="22" t="str">
        <f>IF($L135="","",ROWS($L$5:L135)-(INDEX('Packet Builder'!$O$5:$O$34,$L135)-$M135-1))</f>
        <v/>
      </c>
      <c r="D135" s="22" t="str">
        <f>IF($L135="","",IF($C135&gt;$M135,"EOF",IFERROR(VALUE(TRIM(MID(SUBSTITUTE(INDEX('Packet Builder'!$P$5:$P$34,$L135),",",REPT(" ",LEN(INDEX('Packet Builder'!$P$5:$P$34,$L135)))),($C135-1)*LEN(INDEX('Packet Builder'!$P$5:$P$34,$L135))+1,LEN(INDEX('Packet Builder'!$P$5:$P$34,$L135))))),"ERR")))</f>
        <v/>
      </c>
      <c r="E135" s="21" t="str">
        <f>IF($L135="","",IF($C135&gt;$M135,"End of Frame Delimiter",IFERROR(INDEX(Fields!$B$5:$B$48,MATCH($D135,Fields!$A$5:$A$48,0)),"MISSING")))</f>
        <v/>
      </c>
      <c r="F135" s="22" t="str">
        <f>IF($L135="","",SUMIF($L$5:L135,L135,$G$5:G135)-G135)</f>
        <v/>
      </c>
      <c r="G135" s="22" t="str">
        <f>IF($L135="","",IF($C135&gt;$M135,Overview!$B$26,IFERROR(INDEX(Fields!$F$5:$F$48,MATCH($D135,Fields!$A$5:$A$48,0)),0)))</f>
        <v/>
      </c>
      <c r="H135" s="22" t="str">
        <f t="shared" si="2"/>
        <v/>
      </c>
      <c r="I135" s="21" t="str">
        <f>IF($L135="","",IF($C135&gt;$M135,IF(Overview!$B$26=1,"uint8","uint8["&amp;Overview!$B$26&amp;"]"),IFERROR(INDEX(Fields!$E$5:$E$48,MATCH($D135,Fields!$A$5:$A$48,0)),"MISSING")))</f>
        <v/>
      </c>
      <c r="J135" s="21" t="str">
        <f>IF($L135="","",IF($C135&gt;$M135,"Fixed end-of-frame delimiter, value "&amp;Overview!$B$25&amp;".",IFERROR(INDEX(Fields!$G$5:$G$48,MATCH($D135,Fields!$A$5:$A$48,0)),"MISSING")))</f>
        <v/>
      </c>
      <c r="K135" s="21" t="str">
        <f>IF($L135="","",IF($C135&gt;$M135,"n/a",IFERROR(INDEX(Fields!$H$5:$H$48,MATCH($D135,Fields!$A$5:$A$48,0)),"MISSING")))</f>
        <v/>
      </c>
      <c r="L135" s="23" t="str">
        <f>IF(ROWS($L$5:L135)&gt;MAX('Packet Builder'!$O$5:$O$34),"",COUNTIF('Packet Builder'!$O$5:$O$34,"&lt;"&amp;ROWS($L$5:L135))+1)</f>
        <v/>
      </c>
      <c r="M135" s="23" t="str">
        <f>IF($L135="","",INDEX('Packet Builder'!$F$5:$F$34,$L135))</f>
        <v/>
      </c>
    </row>
    <row r="136" spans="1:13" x14ac:dyDescent="0.35">
      <c r="A136" s="21" t="str">
        <f>IF($L136="","",INDEX('Packet Builder'!$A$5:$A$34,$L136))</f>
        <v/>
      </c>
      <c r="B136" s="21" t="str">
        <f>IF($L136="","",INDEX('Packet Builder'!$B$5:$B$34,$L136))</f>
        <v/>
      </c>
      <c r="C136" s="22" t="str">
        <f>IF($L136="","",ROWS($L$5:L136)-(INDEX('Packet Builder'!$O$5:$O$34,$L136)-$M136-1))</f>
        <v/>
      </c>
      <c r="D136" s="22" t="str">
        <f>IF($L136="","",IF($C136&gt;$M136,"EOF",IFERROR(VALUE(TRIM(MID(SUBSTITUTE(INDEX('Packet Builder'!$P$5:$P$34,$L136),",",REPT(" ",LEN(INDEX('Packet Builder'!$P$5:$P$34,$L136)))),($C136-1)*LEN(INDEX('Packet Builder'!$P$5:$P$34,$L136))+1,LEN(INDEX('Packet Builder'!$P$5:$P$34,$L136))))),"ERR")))</f>
        <v/>
      </c>
      <c r="E136" s="21" t="str">
        <f>IF($L136="","",IF($C136&gt;$M136,"End of Frame Delimiter",IFERROR(INDEX(Fields!$B$5:$B$48,MATCH($D136,Fields!$A$5:$A$48,0)),"MISSING")))</f>
        <v/>
      </c>
      <c r="F136" s="22" t="str">
        <f>IF($L136="","",SUMIF($L$5:L136,L136,$G$5:G136)-G136)</f>
        <v/>
      </c>
      <c r="G136" s="22" t="str">
        <f>IF($L136="","",IF($C136&gt;$M136,Overview!$B$26,IFERROR(INDEX(Fields!$F$5:$F$48,MATCH($D136,Fields!$A$5:$A$48,0)),0)))</f>
        <v/>
      </c>
      <c r="H136" s="22" t="str">
        <f t="shared" si="2"/>
        <v/>
      </c>
      <c r="I136" s="21" t="str">
        <f>IF($L136="","",IF($C136&gt;$M136,IF(Overview!$B$26=1,"uint8","uint8["&amp;Overview!$B$26&amp;"]"),IFERROR(INDEX(Fields!$E$5:$E$48,MATCH($D136,Fields!$A$5:$A$48,0)),"MISSING")))</f>
        <v/>
      </c>
      <c r="J136" s="21" t="str">
        <f>IF($L136="","",IF($C136&gt;$M136,"Fixed end-of-frame delimiter, value "&amp;Overview!$B$25&amp;".",IFERROR(INDEX(Fields!$G$5:$G$48,MATCH($D136,Fields!$A$5:$A$48,0)),"MISSING")))</f>
        <v/>
      </c>
      <c r="K136" s="21" t="str">
        <f>IF($L136="","",IF($C136&gt;$M136,"n/a",IFERROR(INDEX(Fields!$H$5:$H$48,MATCH($D136,Fields!$A$5:$A$48,0)),"MISSING")))</f>
        <v/>
      </c>
      <c r="L136" s="23" t="str">
        <f>IF(ROWS($L$5:L136)&gt;MAX('Packet Builder'!$O$5:$O$34),"",COUNTIF('Packet Builder'!$O$5:$O$34,"&lt;"&amp;ROWS($L$5:L136))+1)</f>
        <v/>
      </c>
      <c r="M136" s="23" t="str">
        <f>IF($L136="","",INDEX('Packet Builder'!$F$5:$F$34,$L136))</f>
        <v/>
      </c>
    </row>
    <row r="137" spans="1:13" x14ac:dyDescent="0.35">
      <c r="A137" s="21" t="str">
        <f>IF($L137="","",INDEX('Packet Builder'!$A$5:$A$34,$L137))</f>
        <v/>
      </c>
      <c r="B137" s="21" t="str">
        <f>IF($L137="","",INDEX('Packet Builder'!$B$5:$B$34,$L137))</f>
        <v/>
      </c>
      <c r="C137" s="22" t="str">
        <f>IF($L137="","",ROWS($L$5:L137)-(INDEX('Packet Builder'!$O$5:$O$34,$L137)-$M137-1))</f>
        <v/>
      </c>
      <c r="D137" s="22" t="str">
        <f>IF($L137="","",IF($C137&gt;$M137,"EOF",IFERROR(VALUE(TRIM(MID(SUBSTITUTE(INDEX('Packet Builder'!$P$5:$P$34,$L137),",",REPT(" ",LEN(INDEX('Packet Builder'!$P$5:$P$34,$L137)))),($C137-1)*LEN(INDEX('Packet Builder'!$P$5:$P$34,$L137))+1,LEN(INDEX('Packet Builder'!$P$5:$P$34,$L137))))),"ERR")))</f>
        <v/>
      </c>
      <c r="E137" s="21" t="str">
        <f>IF($L137="","",IF($C137&gt;$M137,"End of Frame Delimiter",IFERROR(INDEX(Fields!$B$5:$B$48,MATCH($D137,Fields!$A$5:$A$48,0)),"MISSING")))</f>
        <v/>
      </c>
      <c r="F137" s="22" t="str">
        <f>IF($L137="","",SUMIF($L$5:L137,L137,$G$5:G137)-G137)</f>
        <v/>
      </c>
      <c r="G137" s="22" t="str">
        <f>IF($L137="","",IF($C137&gt;$M137,Overview!$B$26,IFERROR(INDEX(Fields!$F$5:$F$48,MATCH($D137,Fields!$A$5:$A$48,0)),0)))</f>
        <v/>
      </c>
      <c r="H137" s="22" t="str">
        <f t="shared" si="2"/>
        <v/>
      </c>
      <c r="I137" s="21" t="str">
        <f>IF($L137="","",IF($C137&gt;$M137,IF(Overview!$B$26=1,"uint8","uint8["&amp;Overview!$B$26&amp;"]"),IFERROR(INDEX(Fields!$E$5:$E$48,MATCH($D137,Fields!$A$5:$A$48,0)),"MISSING")))</f>
        <v/>
      </c>
      <c r="J137" s="21" t="str">
        <f>IF($L137="","",IF($C137&gt;$M137,"Fixed end-of-frame delimiter, value "&amp;Overview!$B$25&amp;".",IFERROR(INDEX(Fields!$G$5:$G$48,MATCH($D137,Fields!$A$5:$A$48,0)),"MISSING")))</f>
        <v/>
      </c>
      <c r="K137" s="21" t="str">
        <f>IF($L137="","",IF($C137&gt;$M137,"n/a",IFERROR(INDEX(Fields!$H$5:$H$48,MATCH($D137,Fields!$A$5:$A$48,0)),"MISSING")))</f>
        <v/>
      </c>
      <c r="L137" s="23" t="str">
        <f>IF(ROWS($L$5:L137)&gt;MAX('Packet Builder'!$O$5:$O$34),"",COUNTIF('Packet Builder'!$O$5:$O$34,"&lt;"&amp;ROWS($L$5:L137))+1)</f>
        <v/>
      </c>
      <c r="M137" s="23" t="str">
        <f>IF($L137="","",INDEX('Packet Builder'!$F$5:$F$34,$L137))</f>
        <v/>
      </c>
    </row>
    <row r="138" spans="1:13" x14ac:dyDescent="0.35">
      <c r="A138" s="21" t="str">
        <f>IF($L138="","",INDEX('Packet Builder'!$A$5:$A$34,$L138))</f>
        <v/>
      </c>
      <c r="B138" s="21" t="str">
        <f>IF($L138="","",INDEX('Packet Builder'!$B$5:$B$34,$L138))</f>
        <v/>
      </c>
      <c r="C138" s="22" t="str">
        <f>IF($L138="","",ROWS($L$5:L138)-(INDEX('Packet Builder'!$O$5:$O$34,$L138)-$M138-1))</f>
        <v/>
      </c>
      <c r="D138" s="22" t="str">
        <f>IF($L138="","",IF($C138&gt;$M138,"EOF",IFERROR(VALUE(TRIM(MID(SUBSTITUTE(INDEX('Packet Builder'!$P$5:$P$34,$L138),",",REPT(" ",LEN(INDEX('Packet Builder'!$P$5:$P$34,$L138)))),($C138-1)*LEN(INDEX('Packet Builder'!$P$5:$P$34,$L138))+1,LEN(INDEX('Packet Builder'!$P$5:$P$34,$L138))))),"ERR")))</f>
        <v/>
      </c>
      <c r="E138" s="21" t="str">
        <f>IF($L138="","",IF($C138&gt;$M138,"End of Frame Delimiter",IFERROR(INDEX(Fields!$B$5:$B$48,MATCH($D138,Fields!$A$5:$A$48,0)),"MISSING")))</f>
        <v/>
      </c>
      <c r="F138" s="22" t="str">
        <f>IF($L138="","",SUMIF($L$5:L138,L138,$G$5:G138)-G138)</f>
        <v/>
      </c>
      <c r="G138" s="22" t="str">
        <f>IF($L138="","",IF($C138&gt;$M138,Overview!$B$26,IFERROR(INDEX(Fields!$F$5:$F$48,MATCH($D138,Fields!$A$5:$A$48,0)),0)))</f>
        <v/>
      </c>
      <c r="H138" s="22" t="str">
        <f t="shared" si="2"/>
        <v/>
      </c>
      <c r="I138" s="21" t="str">
        <f>IF($L138="","",IF($C138&gt;$M138,IF(Overview!$B$26=1,"uint8","uint8["&amp;Overview!$B$26&amp;"]"),IFERROR(INDEX(Fields!$E$5:$E$48,MATCH($D138,Fields!$A$5:$A$48,0)),"MISSING")))</f>
        <v/>
      </c>
      <c r="J138" s="21" t="str">
        <f>IF($L138="","",IF($C138&gt;$M138,"Fixed end-of-frame delimiter, value "&amp;Overview!$B$25&amp;".",IFERROR(INDEX(Fields!$G$5:$G$48,MATCH($D138,Fields!$A$5:$A$48,0)),"MISSING")))</f>
        <v/>
      </c>
      <c r="K138" s="21" t="str">
        <f>IF($L138="","",IF($C138&gt;$M138,"n/a",IFERROR(INDEX(Fields!$H$5:$H$48,MATCH($D138,Fields!$A$5:$A$48,0)),"MISSING")))</f>
        <v/>
      </c>
      <c r="L138" s="23" t="str">
        <f>IF(ROWS($L$5:L138)&gt;MAX('Packet Builder'!$O$5:$O$34),"",COUNTIF('Packet Builder'!$O$5:$O$34,"&lt;"&amp;ROWS($L$5:L138))+1)</f>
        <v/>
      </c>
      <c r="M138" s="23" t="str">
        <f>IF($L138="","",INDEX('Packet Builder'!$F$5:$F$34,$L138))</f>
        <v/>
      </c>
    </row>
    <row r="139" spans="1:13" x14ac:dyDescent="0.35">
      <c r="A139" s="21" t="str">
        <f>IF($L139="","",INDEX('Packet Builder'!$A$5:$A$34,$L139))</f>
        <v/>
      </c>
      <c r="B139" s="21" t="str">
        <f>IF($L139="","",INDEX('Packet Builder'!$B$5:$B$34,$L139))</f>
        <v/>
      </c>
      <c r="C139" s="22" t="str">
        <f>IF($L139="","",ROWS($L$5:L139)-(INDEX('Packet Builder'!$O$5:$O$34,$L139)-$M139-1))</f>
        <v/>
      </c>
      <c r="D139" s="22" t="str">
        <f>IF($L139="","",IF($C139&gt;$M139,"EOF",IFERROR(VALUE(TRIM(MID(SUBSTITUTE(INDEX('Packet Builder'!$P$5:$P$34,$L139),",",REPT(" ",LEN(INDEX('Packet Builder'!$P$5:$P$34,$L139)))),($C139-1)*LEN(INDEX('Packet Builder'!$P$5:$P$34,$L139))+1,LEN(INDEX('Packet Builder'!$P$5:$P$34,$L139))))),"ERR")))</f>
        <v/>
      </c>
      <c r="E139" s="21" t="str">
        <f>IF($L139="","",IF($C139&gt;$M139,"End of Frame Delimiter",IFERROR(INDEX(Fields!$B$5:$B$48,MATCH($D139,Fields!$A$5:$A$48,0)),"MISSING")))</f>
        <v/>
      </c>
      <c r="F139" s="22" t="str">
        <f>IF($L139="","",SUMIF($L$5:L139,L139,$G$5:G139)-G139)</f>
        <v/>
      </c>
      <c r="G139" s="22" t="str">
        <f>IF($L139="","",IF($C139&gt;$M139,Overview!$B$26,IFERROR(INDEX(Fields!$F$5:$F$48,MATCH($D139,Fields!$A$5:$A$48,0)),0)))</f>
        <v/>
      </c>
      <c r="H139" s="22" t="str">
        <f t="shared" si="2"/>
        <v/>
      </c>
      <c r="I139" s="21" t="str">
        <f>IF($L139="","",IF($C139&gt;$M139,IF(Overview!$B$26=1,"uint8","uint8["&amp;Overview!$B$26&amp;"]"),IFERROR(INDEX(Fields!$E$5:$E$48,MATCH($D139,Fields!$A$5:$A$48,0)),"MISSING")))</f>
        <v/>
      </c>
      <c r="J139" s="21" t="str">
        <f>IF($L139="","",IF($C139&gt;$M139,"Fixed end-of-frame delimiter, value "&amp;Overview!$B$25&amp;".",IFERROR(INDEX(Fields!$G$5:$G$48,MATCH($D139,Fields!$A$5:$A$48,0)),"MISSING")))</f>
        <v/>
      </c>
      <c r="K139" s="21" t="str">
        <f>IF($L139="","",IF($C139&gt;$M139,"n/a",IFERROR(INDEX(Fields!$H$5:$H$48,MATCH($D139,Fields!$A$5:$A$48,0)),"MISSING")))</f>
        <v/>
      </c>
      <c r="L139" s="23" t="str">
        <f>IF(ROWS($L$5:L139)&gt;MAX('Packet Builder'!$O$5:$O$34),"",COUNTIF('Packet Builder'!$O$5:$O$34,"&lt;"&amp;ROWS($L$5:L139))+1)</f>
        <v/>
      </c>
      <c r="M139" s="23" t="str">
        <f>IF($L139="","",INDEX('Packet Builder'!$F$5:$F$34,$L139))</f>
        <v/>
      </c>
    </row>
    <row r="140" spans="1:13" x14ac:dyDescent="0.35">
      <c r="A140" s="21" t="str">
        <f>IF($L140="","",INDEX('Packet Builder'!$A$5:$A$34,$L140))</f>
        <v/>
      </c>
      <c r="B140" s="21" t="str">
        <f>IF($L140="","",INDEX('Packet Builder'!$B$5:$B$34,$L140))</f>
        <v/>
      </c>
      <c r="C140" s="22" t="str">
        <f>IF($L140="","",ROWS($L$5:L140)-(INDEX('Packet Builder'!$O$5:$O$34,$L140)-$M140-1))</f>
        <v/>
      </c>
      <c r="D140" s="22" t="str">
        <f>IF($L140="","",IF($C140&gt;$M140,"EOF",IFERROR(VALUE(TRIM(MID(SUBSTITUTE(INDEX('Packet Builder'!$P$5:$P$34,$L140),",",REPT(" ",LEN(INDEX('Packet Builder'!$P$5:$P$34,$L140)))),($C140-1)*LEN(INDEX('Packet Builder'!$P$5:$P$34,$L140))+1,LEN(INDEX('Packet Builder'!$P$5:$P$34,$L140))))),"ERR")))</f>
        <v/>
      </c>
      <c r="E140" s="21" t="str">
        <f>IF($L140="","",IF($C140&gt;$M140,"End of Frame Delimiter",IFERROR(INDEX(Fields!$B$5:$B$48,MATCH($D140,Fields!$A$5:$A$48,0)),"MISSING")))</f>
        <v/>
      </c>
      <c r="F140" s="22" t="str">
        <f>IF($L140="","",SUMIF($L$5:L140,L140,$G$5:G140)-G140)</f>
        <v/>
      </c>
      <c r="G140" s="22" t="str">
        <f>IF($L140="","",IF($C140&gt;$M140,Overview!$B$26,IFERROR(INDEX(Fields!$F$5:$F$48,MATCH($D140,Fields!$A$5:$A$48,0)),0)))</f>
        <v/>
      </c>
      <c r="H140" s="22" t="str">
        <f t="shared" si="2"/>
        <v/>
      </c>
      <c r="I140" s="21" t="str">
        <f>IF($L140="","",IF($C140&gt;$M140,IF(Overview!$B$26=1,"uint8","uint8["&amp;Overview!$B$26&amp;"]"),IFERROR(INDEX(Fields!$E$5:$E$48,MATCH($D140,Fields!$A$5:$A$48,0)),"MISSING")))</f>
        <v/>
      </c>
      <c r="J140" s="21" t="str">
        <f>IF($L140="","",IF($C140&gt;$M140,"Fixed end-of-frame delimiter, value "&amp;Overview!$B$25&amp;".",IFERROR(INDEX(Fields!$G$5:$G$48,MATCH($D140,Fields!$A$5:$A$48,0)),"MISSING")))</f>
        <v/>
      </c>
      <c r="K140" s="21" t="str">
        <f>IF($L140="","",IF($C140&gt;$M140,"n/a",IFERROR(INDEX(Fields!$H$5:$H$48,MATCH($D140,Fields!$A$5:$A$48,0)),"MISSING")))</f>
        <v/>
      </c>
      <c r="L140" s="23" t="str">
        <f>IF(ROWS($L$5:L140)&gt;MAX('Packet Builder'!$O$5:$O$34),"",COUNTIF('Packet Builder'!$O$5:$O$34,"&lt;"&amp;ROWS($L$5:L140))+1)</f>
        <v/>
      </c>
      <c r="M140" s="23" t="str">
        <f>IF($L140="","",INDEX('Packet Builder'!$F$5:$F$34,$L140))</f>
        <v/>
      </c>
    </row>
    <row r="141" spans="1:13" x14ac:dyDescent="0.35">
      <c r="A141" s="21" t="str">
        <f>IF($L141="","",INDEX('Packet Builder'!$A$5:$A$34,$L141))</f>
        <v/>
      </c>
      <c r="B141" s="21" t="str">
        <f>IF($L141="","",INDEX('Packet Builder'!$B$5:$B$34,$L141))</f>
        <v/>
      </c>
      <c r="C141" s="22" t="str">
        <f>IF($L141="","",ROWS($L$5:L141)-(INDEX('Packet Builder'!$O$5:$O$34,$L141)-$M141-1))</f>
        <v/>
      </c>
      <c r="D141" s="22" t="str">
        <f>IF($L141="","",IF($C141&gt;$M141,"EOF",IFERROR(VALUE(TRIM(MID(SUBSTITUTE(INDEX('Packet Builder'!$P$5:$P$34,$L141),",",REPT(" ",LEN(INDEX('Packet Builder'!$P$5:$P$34,$L141)))),($C141-1)*LEN(INDEX('Packet Builder'!$P$5:$P$34,$L141))+1,LEN(INDEX('Packet Builder'!$P$5:$P$34,$L141))))),"ERR")))</f>
        <v/>
      </c>
      <c r="E141" s="21" t="str">
        <f>IF($L141="","",IF($C141&gt;$M141,"End of Frame Delimiter",IFERROR(INDEX(Fields!$B$5:$B$48,MATCH($D141,Fields!$A$5:$A$48,0)),"MISSING")))</f>
        <v/>
      </c>
      <c r="F141" s="22" t="str">
        <f>IF($L141="","",SUMIF($L$5:L141,L141,$G$5:G141)-G141)</f>
        <v/>
      </c>
      <c r="G141" s="22" t="str">
        <f>IF($L141="","",IF($C141&gt;$M141,Overview!$B$26,IFERROR(INDEX(Fields!$F$5:$F$48,MATCH($D141,Fields!$A$5:$A$48,0)),0)))</f>
        <v/>
      </c>
      <c r="H141" s="22" t="str">
        <f t="shared" si="2"/>
        <v/>
      </c>
      <c r="I141" s="21" t="str">
        <f>IF($L141="","",IF($C141&gt;$M141,IF(Overview!$B$26=1,"uint8","uint8["&amp;Overview!$B$26&amp;"]"),IFERROR(INDEX(Fields!$E$5:$E$48,MATCH($D141,Fields!$A$5:$A$48,0)),"MISSING")))</f>
        <v/>
      </c>
      <c r="J141" s="21" t="str">
        <f>IF($L141="","",IF($C141&gt;$M141,"Fixed end-of-frame delimiter, value "&amp;Overview!$B$25&amp;".",IFERROR(INDEX(Fields!$G$5:$G$48,MATCH($D141,Fields!$A$5:$A$48,0)),"MISSING")))</f>
        <v/>
      </c>
      <c r="K141" s="21" t="str">
        <f>IF($L141="","",IF($C141&gt;$M141,"n/a",IFERROR(INDEX(Fields!$H$5:$H$48,MATCH($D141,Fields!$A$5:$A$48,0)),"MISSING")))</f>
        <v/>
      </c>
      <c r="L141" s="23" t="str">
        <f>IF(ROWS($L$5:L141)&gt;MAX('Packet Builder'!$O$5:$O$34),"",COUNTIF('Packet Builder'!$O$5:$O$34,"&lt;"&amp;ROWS($L$5:L141))+1)</f>
        <v/>
      </c>
      <c r="M141" s="23" t="str">
        <f>IF($L141="","",INDEX('Packet Builder'!$F$5:$F$34,$L141))</f>
        <v/>
      </c>
    </row>
    <row r="142" spans="1:13" x14ac:dyDescent="0.35">
      <c r="A142" s="21" t="str">
        <f>IF($L142="","",INDEX('Packet Builder'!$A$5:$A$34,$L142))</f>
        <v/>
      </c>
      <c r="B142" s="21" t="str">
        <f>IF($L142="","",INDEX('Packet Builder'!$B$5:$B$34,$L142))</f>
        <v/>
      </c>
      <c r="C142" s="22" t="str">
        <f>IF($L142="","",ROWS($L$5:L142)-(INDEX('Packet Builder'!$O$5:$O$34,$L142)-$M142-1))</f>
        <v/>
      </c>
      <c r="D142" s="22" t="str">
        <f>IF($L142="","",IF($C142&gt;$M142,"EOF",IFERROR(VALUE(TRIM(MID(SUBSTITUTE(INDEX('Packet Builder'!$P$5:$P$34,$L142),",",REPT(" ",LEN(INDEX('Packet Builder'!$P$5:$P$34,$L142)))),($C142-1)*LEN(INDEX('Packet Builder'!$P$5:$P$34,$L142))+1,LEN(INDEX('Packet Builder'!$P$5:$P$34,$L142))))),"ERR")))</f>
        <v/>
      </c>
      <c r="E142" s="21" t="str">
        <f>IF($L142="","",IF($C142&gt;$M142,"End of Frame Delimiter",IFERROR(INDEX(Fields!$B$5:$B$48,MATCH($D142,Fields!$A$5:$A$48,0)),"MISSING")))</f>
        <v/>
      </c>
      <c r="F142" s="22" t="str">
        <f>IF($L142="","",SUMIF($L$5:L142,L142,$G$5:G142)-G142)</f>
        <v/>
      </c>
      <c r="G142" s="22" t="str">
        <f>IF($L142="","",IF($C142&gt;$M142,Overview!$B$26,IFERROR(INDEX(Fields!$F$5:$F$48,MATCH($D142,Fields!$A$5:$A$48,0)),0)))</f>
        <v/>
      </c>
      <c r="H142" s="22" t="str">
        <f t="shared" si="2"/>
        <v/>
      </c>
      <c r="I142" s="21" t="str">
        <f>IF($L142="","",IF($C142&gt;$M142,IF(Overview!$B$26=1,"uint8","uint8["&amp;Overview!$B$26&amp;"]"),IFERROR(INDEX(Fields!$E$5:$E$48,MATCH($D142,Fields!$A$5:$A$48,0)),"MISSING")))</f>
        <v/>
      </c>
      <c r="J142" s="21" t="str">
        <f>IF($L142="","",IF($C142&gt;$M142,"Fixed end-of-frame delimiter, value "&amp;Overview!$B$25&amp;".",IFERROR(INDEX(Fields!$G$5:$G$48,MATCH($D142,Fields!$A$5:$A$48,0)),"MISSING")))</f>
        <v/>
      </c>
      <c r="K142" s="21" t="str">
        <f>IF($L142="","",IF($C142&gt;$M142,"n/a",IFERROR(INDEX(Fields!$H$5:$H$48,MATCH($D142,Fields!$A$5:$A$48,0)),"MISSING")))</f>
        <v/>
      </c>
      <c r="L142" s="23" t="str">
        <f>IF(ROWS($L$5:L142)&gt;MAX('Packet Builder'!$O$5:$O$34),"",COUNTIF('Packet Builder'!$O$5:$O$34,"&lt;"&amp;ROWS($L$5:L142))+1)</f>
        <v/>
      </c>
      <c r="M142" s="23" t="str">
        <f>IF($L142="","",INDEX('Packet Builder'!$F$5:$F$34,$L142))</f>
        <v/>
      </c>
    </row>
    <row r="143" spans="1:13" x14ac:dyDescent="0.35">
      <c r="A143" s="21" t="str">
        <f>IF($L143="","",INDEX('Packet Builder'!$A$5:$A$34,$L143))</f>
        <v/>
      </c>
      <c r="B143" s="21" t="str">
        <f>IF($L143="","",INDEX('Packet Builder'!$B$5:$B$34,$L143))</f>
        <v/>
      </c>
      <c r="C143" s="22" t="str">
        <f>IF($L143="","",ROWS($L$5:L143)-(INDEX('Packet Builder'!$O$5:$O$34,$L143)-$M143-1))</f>
        <v/>
      </c>
      <c r="D143" s="22" t="str">
        <f>IF($L143="","",IF($C143&gt;$M143,"EOF",IFERROR(VALUE(TRIM(MID(SUBSTITUTE(INDEX('Packet Builder'!$P$5:$P$34,$L143),",",REPT(" ",LEN(INDEX('Packet Builder'!$P$5:$P$34,$L143)))),($C143-1)*LEN(INDEX('Packet Builder'!$P$5:$P$34,$L143))+1,LEN(INDEX('Packet Builder'!$P$5:$P$34,$L143))))),"ERR")))</f>
        <v/>
      </c>
      <c r="E143" s="21" t="str">
        <f>IF($L143="","",IF($C143&gt;$M143,"End of Frame Delimiter",IFERROR(INDEX(Fields!$B$5:$B$48,MATCH($D143,Fields!$A$5:$A$48,0)),"MISSING")))</f>
        <v/>
      </c>
      <c r="F143" s="22" t="str">
        <f>IF($L143="","",SUMIF($L$5:L143,L143,$G$5:G143)-G143)</f>
        <v/>
      </c>
      <c r="G143" s="22" t="str">
        <f>IF($L143="","",IF($C143&gt;$M143,Overview!$B$26,IFERROR(INDEX(Fields!$F$5:$F$48,MATCH($D143,Fields!$A$5:$A$48,0)),0)))</f>
        <v/>
      </c>
      <c r="H143" s="22" t="str">
        <f t="shared" si="2"/>
        <v/>
      </c>
      <c r="I143" s="21" t="str">
        <f>IF($L143="","",IF($C143&gt;$M143,IF(Overview!$B$26=1,"uint8","uint8["&amp;Overview!$B$26&amp;"]"),IFERROR(INDEX(Fields!$E$5:$E$48,MATCH($D143,Fields!$A$5:$A$48,0)),"MISSING")))</f>
        <v/>
      </c>
      <c r="J143" s="21" t="str">
        <f>IF($L143="","",IF($C143&gt;$M143,"Fixed end-of-frame delimiter, value "&amp;Overview!$B$25&amp;".",IFERROR(INDEX(Fields!$G$5:$G$48,MATCH($D143,Fields!$A$5:$A$48,0)),"MISSING")))</f>
        <v/>
      </c>
      <c r="K143" s="21" t="str">
        <f>IF($L143="","",IF($C143&gt;$M143,"n/a",IFERROR(INDEX(Fields!$H$5:$H$48,MATCH($D143,Fields!$A$5:$A$48,0)),"MISSING")))</f>
        <v/>
      </c>
      <c r="L143" s="23" t="str">
        <f>IF(ROWS($L$5:L143)&gt;MAX('Packet Builder'!$O$5:$O$34),"",COUNTIF('Packet Builder'!$O$5:$O$34,"&lt;"&amp;ROWS($L$5:L143))+1)</f>
        <v/>
      </c>
      <c r="M143" s="23" t="str">
        <f>IF($L143="","",INDEX('Packet Builder'!$F$5:$F$34,$L143))</f>
        <v/>
      </c>
    </row>
    <row r="144" spans="1:13" x14ac:dyDescent="0.35">
      <c r="A144" s="21" t="str">
        <f>IF($L144="","",INDEX('Packet Builder'!$A$5:$A$34,$L144))</f>
        <v/>
      </c>
      <c r="B144" s="21" t="str">
        <f>IF($L144="","",INDEX('Packet Builder'!$B$5:$B$34,$L144))</f>
        <v/>
      </c>
      <c r="C144" s="22" t="str">
        <f>IF($L144="","",ROWS($L$5:L144)-(INDEX('Packet Builder'!$O$5:$O$34,$L144)-$M144-1))</f>
        <v/>
      </c>
      <c r="D144" s="22" t="str">
        <f>IF($L144="","",IF($C144&gt;$M144,"EOF",IFERROR(VALUE(TRIM(MID(SUBSTITUTE(INDEX('Packet Builder'!$P$5:$P$34,$L144),",",REPT(" ",LEN(INDEX('Packet Builder'!$P$5:$P$34,$L144)))),($C144-1)*LEN(INDEX('Packet Builder'!$P$5:$P$34,$L144))+1,LEN(INDEX('Packet Builder'!$P$5:$P$34,$L144))))),"ERR")))</f>
        <v/>
      </c>
      <c r="E144" s="21" t="str">
        <f>IF($L144="","",IF($C144&gt;$M144,"End of Frame Delimiter",IFERROR(INDEX(Fields!$B$5:$B$48,MATCH($D144,Fields!$A$5:$A$48,0)),"MISSING")))</f>
        <v/>
      </c>
      <c r="F144" s="22" t="str">
        <f>IF($L144="","",SUMIF($L$5:L144,L144,$G$5:G144)-G144)</f>
        <v/>
      </c>
      <c r="G144" s="22" t="str">
        <f>IF($L144="","",IF($C144&gt;$M144,Overview!$B$26,IFERROR(INDEX(Fields!$F$5:$F$48,MATCH($D144,Fields!$A$5:$A$48,0)),0)))</f>
        <v/>
      </c>
      <c r="H144" s="22" t="str">
        <f t="shared" si="2"/>
        <v/>
      </c>
      <c r="I144" s="21" t="str">
        <f>IF($L144="","",IF($C144&gt;$M144,IF(Overview!$B$26=1,"uint8","uint8["&amp;Overview!$B$26&amp;"]"),IFERROR(INDEX(Fields!$E$5:$E$48,MATCH($D144,Fields!$A$5:$A$48,0)),"MISSING")))</f>
        <v/>
      </c>
      <c r="J144" s="21" t="str">
        <f>IF($L144="","",IF($C144&gt;$M144,"Fixed end-of-frame delimiter, value "&amp;Overview!$B$25&amp;".",IFERROR(INDEX(Fields!$G$5:$G$48,MATCH($D144,Fields!$A$5:$A$48,0)),"MISSING")))</f>
        <v/>
      </c>
      <c r="K144" s="21" t="str">
        <f>IF($L144="","",IF($C144&gt;$M144,"n/a",IFERROR(INDEX(Fields!$H$5:$H$48,MATCH($D144,Fields!$A$5:$A$48,0)),"MISSING")))</f>
        <v/>
      </c>
      <c r="L144" s="23" t="str">
        <f>IF(ROWS($L$5:L144)&gt;MAX('Packet Builder'!$O$5:$O$34),"",COUNTIF('Packet Builder'!$O$5:$O$34,"&lt;"&amp;ROWS($L$5:L144))+1)</f>
        <v/>
      </c>
      <c r="M144" s="23" t="str">
        <f>IF($L144="","",INDEX('Packet Builder'!$F$5:$F$34,$L144))</f>
        <v/>
      </c>
    </row>
    <row r="145" spans="1:13" x14ac:dyDescent="0.35">
      <c r="A145" s="21" t="str">
        <f>IF($L145="","",INDEX('Packet Builder'!$A$5:$A$34,$L145))</f>
        <v/>
      </c>
      <c r="B145" s="21" t="str">
        <f>IF($L145="","",INDEX('Packet Builder'!$B$5:$B$34,$L145))</f>
        <v/>
      </c>
      <c r="C145" s="22" t="str">
        <f>IF($L145="","",ROWS($L$5:L145)-(INDEX('Packet Builder'!$O$5:$O$34,$L145)-$M145-1))</f>
        <v/>
      </c>
      <c r="D145" s="22" t="str">
        <f>IF($L145="","",IF($C145&gt;$M145,"EOF",IFERROR(VALUE(TRIM(MID(SUBSTITUTE(INDEX('Packet Builder'!$P$5:$P$34,$L145),",",REPT(" ",LEN(INDEX('Packet Builder'!$P$5:$P$34,$L145)))),($C145-1)*LEN(INDEX('Packet Builder'!$P$5:$P$34,$L145))+1,LEN(INDEX('Packet Builder'!$P$5:$P$34,$L145))))),"ERR")))</f>
        <v/>
      </c>
      <c r="E145" s="21" t="str">
        <f>IF($L145="","",IF($C145&gt;$M145,"End of Frame Delimiter",IFERROR(INDEX(Fields!$B$5:$B$48,MATCH($D145,Fields!$A$5:$A$48,0)),"MISSING")))</f>
        <v/>
      </c>
      <c r="F145" s="22" t="str">
        <f>IF($L145="","",SUMIF($L$5:L145,L145,$G$5:G145)-G145)</f>
        <v/>
      </c>
      <c r="G145" s="22" t="str">
        <f>IF($L145="","",IF($C145&gt;$M145,Overview!$B$26,IFERROR(INDEX(Fields!$F$5:$F$48,MATCH($D145,Fields!$A$5:$A$48,0)),0)))</f>
        <v/>
      </c>
      <c r="H145" s="22" t="str">
        <f t="shared" si="2"/>
        <v/>
      </c>
      <c r="I145" s="21" t="str">
        <f>IF($L145="","",IF($C145&gt;$M145,IF(Overview!$B$26=1,"uint8","uint8["&amp;Overview!$B$26&amp;"]"),IFERROR(INDEX(Fields!$E$5:$E$48,MATCH($D145,Fields!$A$5:$A$48,0)),"MISSING")))</f>
        <v/>
      </c>
      <c r="J145" s="21" t="str">
        <f>IF($L145="","",IF($C145&gt;$M145,"Fixed end-of-frame delimiter, value "&amp;Overview!$B$25&amp;".",IFERROR(INDEX(Fields!$G$5:$G$48,MATCH($D145,Fields!$A$5:$A$48,0)),"MISSING")))</f>
        <v/>
      </c>
      <c r="K145" s="21" t="str">
        <f>IF($L145="","",IF($C145&gt;$M145,"n/a",IFERROR(INDEX(Fields!$H$5:$H$48,MATCH($D145,Fields!$A$5:$A$48,0)),"MISSING")))</f>
        <v/>
      </c>
      <c r="L145" s="23" t="str">
        <f>IF(ROWS($L$5:L145)&gt;MAX('Packet Builder'!$O$5:$O$34),"",COUNTIF('Packet Builder'!$O$5:$O$34,"&lt;"&amp;ROWS($L$5:L145))+1)</f>
        <v/>
      </c>
      <c r="M145" s="23" t="str">
        <f>IF($L145="","",INDEX('Packet Builder'!$F$5:$F$34,$L145))</f>
        <v/>
      </c>
    </row>
    <row r="146" spans="1:13" x14ac:dyDescent="0.35">
      <c r="A146" s="21" t="str">
        <f>IF($L146="","",INDEX('Packet Builder'!$A$5:$A$34,$L146))</f>
        <v/>
      </c>
      <c r="B146" s="21" t="str">
        <f>IF($L146="","",INDEX('Packet Builder'!$B$5:$B$34,$L146))</f>
        <v/>
      </c>
      <c r="C146" s="22" t="str">
        <f>IF($L146="","",ROWS($L$5:L146)-(INDEX('Packet Builder'!$O$5:$O$34,$L146)-$M146-1))</f>
        <v/>
      </c>
      <c r="D146" s="22" t="str">
        <f>IF($L146="","",IF($C146&gt;$M146,"EOF",IFERROR(VALUE(TRIM(MID(SUBSTITUTE(INDEX('Packet Builder'!$P$5:$P$34,$L146),",",REPT(" ",LEN(INDEX('Packet Builder'!$P$5:$P$34,$L146)))),($C146-1)*LEN(INDEX('Packet Builder'!$P$5:$P$34,$L146))+1,LEN(INDEX('Packet Builder'!$P$5:$P$34,$L146))))),"ERR")))</f>
        <v/>
      </c>
      <c r="E146" s="21" t="str">
        <f>IF($L146="","",IF($C146&gt;$M146,"End of Frame Delimiter",IFERROR(INDEX(Fields!$B$5:$B$48,MATCH($D146,Fields!$A$5:$A$48,0)),"MISSING")))</f>
        <v/>
      </c>
      <c r="F146" s="22" t="str">
        <f>IF($L146="","",SUMIF($L$5:L146,L146,$G$5:G146)-G146)</f>
        <v/>
      </c>
      <c r="G146" s="22" t="str">
        <f>IF($L146="","",IF($C146&gt;$M146,Overview!$B$26,IFERROR(INDEX(Fields!$F$5:$F$48,MATCH($D146,Fields!$A$5:$A$48,0)),0)))</f>
        <v/>
      </c>
      <c r="H146" s="22" t="str">
        <f t="shared" si="2"/>
        <v/>
      </c>
      <c r="I146" s="21" t="str">
        <f>IF($L146="","",IF($C146&gt;$M146,IF(Overview!$B$26=1,"uint8","uint8["&amp;Overview!$B$26&amp;"]"),IFERROR(INDEX(Fields!$E$5:$E$48,MATCH($D146,Fields!$A$5:$A$48,0)),"MISSING")))</f>
        <v/>
      </c>
      <c r="J146" s="21" t="str">
        <f>IF($L146="","",IF($C146&gt;$M146,"Fixed end-of-frame delimiter, value "&amp;Overview!$B$25&amp;".",IFERROR(INDEX(Fields!$G$5:$G$48,MATCH($D146,Fields!$A$5:$A$48,0)),"MISSING")))</f>
        <v/>
      </c>
      <c r="K146" s="21" t="str">
        <f>IF($L146="","",IF($C146&gt;$M146,"n/a",IFERROR(INDEX(Fields!$H$5:$H$48,MATCH($D146,Fields!$A$5:$A$48,0)),"MISSING")))</f>
        <v/>
      </c>
      <c r="L146" s="23" t="str">
        <f>IF(ROWS($L$5:L146)&gt;MAX('Packet Builder'!$O$5:$O$34),"",COUNTIF('Packet Builder'!$O$5:$O$34,"&lt;"&amp;ROWS($L$5:L146))+1)</f>
        <v/>
      </c>
      <c r="M146" s="23" t="str">
        <f>IF($L146="","",INDEX('Packet Builder'!$F$5:$F$34,$L146))</f>
        <v/>
      </c>
    </row>
    <row r="147" spans="1:13" x14ac:dyDescent="0.35">
      <c r="A147" s="21" t="str">
        <f>IF($L147="","",INDEX('Packet Builder'!$A$5:$A$34,$L147))</f>
        <v/>
      </c>
      <c r="B147" s="21" t="str">
        <f>IF($L147="","",INDEX('Packet Builder'!$B$5:$B$34,$L147))</f>
        <v/>
      </c>
      <c r="C147" s="22" t="str">
        <f>IF($L147="","",ROWS($L$5:L147)-(INDEX('Packet Builder'!$O$5:$O$34,$L147)-$M147-1))</f>
        <v/>
      </c>
      <c r="D147" s="22" t="str">
        <f>IF($L147="","",IF($C147&gt;$M147,"EOF",IFERROR(VALUE(TRIM(MID(SUBSTITUTE(INDEX('Packet Builder'!$P$5:$P$34,$L147),",",REPT(" ",LEN(INDEX('Packet Builder'!$P$5:$P$34,$L147)))),($C147-1)*LEN(INDEX('Packet Builder'!$P$5:$P$34,$L147))+1,LEN(INDEX('Packet Builder'!$P$5:$P$34,$L147))))),"ERR")))</f>
        <v/>
      </c>
      <c r="E147" s="21" t="str">
        <f>IF($L147="","",IF($C147&gt;$M147,"End of Frame Delimiter",IFERROR(INDEX(Fields!$B$5:$B$48,MATCH($D147,Fields!$A$5:$A$48,0)),"MISSING")))</f>
        <v/>
      </c>
      <c r="F147" s="22" t="str">
        <f>IF($L147="","",SUMIF($L$5:L147,L147,$G$5:G147)-G147)</f>
        <v/>
      </c>
      <c r="G147" s="22" t="str">
        <f>IF($L147="","",IF($C147&gt;$M147,Overview!$B$26,IFERROR(INDEX(Fields!$F$5:$F$48,MATCH($D147,Fields!$A$5:$A$48,0)),0)))</f>
        <v/>
      </c>
      <c r="H147" s="22" t="str">
        <f t="shared" si="2"/>
        <v/>
      </c>
      <c r="I147" s="21" t="str">
        <f>IF($L147="","",IF($C147&gt;$M147,IF(Overview!$B$26=1,"uint8","uint8["&amp;Overview!$B$26&amp;"]"),IFERROR(INDEX(Fields!$E$5:$E$48,MATCH($D147,Fields!$A$5:$A$48,0)),"MISSING")))</f>
        <v/>
      </c>
      <c r="J147" s="21" t="str">
        <f>IF($L147="","",IF($C147&gt;$M147,"Fixed end-of-frame delimiter, value "&amp;Overview!$B$25&amp;".",IFERROR(INDEX(Fields!$G$5:$G$48,MATCH($D147,Fields!$A$5:$A$48,0)),"MISSING")))</f>
        <v/>
      </c>
      <c r="K147" s="21" t="str">
        <f>IF($L147="","",IF($C147&gt;$M147,"n/a",IFERROR(INDEX(Fields!$H$5:$H$48,MATCH($D147,Fields!$A$5:$A$48,0)),"MISSING")))</f>
        <v/>
      </c>
      <c r="L147" s="23" t="str">
        <f>IF(ROWS($L$5:L147)&gt;MAX('Packet Builder'!$O$5:$O$34),"",COUNTIF('Packet Builder'!$O$5:$O$34,"&lt;"&amp;ROWS($L$5:L147))+1)</f>
        <v/>
      </c>
      <c r="M147" s="23" t="str">
        <f>IF($L147="","",INDEX('Packet Builder'!$F$5:$F$34,$L147))</f>
        <v/>
      </c>
    </row>
    <row r="148" spans="1:13" x14ac:dyDescent="0.35">
      <c r="A148" s="21" t="str">
        <f>IF($L148="","",INDEX('Packet Builder'!$A$5:$A$34,$L148))</f>
        <v/>
      </c>
      <c r="B148" s="21" t="str">
        <f>IF($L148="","",INDEX('Packet Builder'!$B$5:$B$34,$L148))</f>
        <v/>
      </c>
      <c r="C148" s="22" t="str">
        <f>IF($L148="","",ROWS($L$5:L148)-(INDEX('Packet Builder'!$O$5:$O$34,$L148)-$M148-1))</f>
        <v/>
      </c>
      <c r="D148" s="22" t="str">
        <f>IF($L148="","",IF($C148&gt;$M148,"EOF",IFERROR(VALUE(TRIM(MID(SUBSTITUTE(INDEX('Packet Builder'!$P$5:$P$34,$L148),",",REPT(" ",LEN(INDEX('Packet Builder'!$P$5:$P$34,$L148)))),($C148-1)*LEN(INDEX('Packet Builder'!$P$5:$P$34,$L148))+1,LEN(INDEX('Packet Builder'!$P$5:$P$34,$L148))))),"ERR")))</f>
        <v/>
      </c>
      <c r="E148" s="21" t="str">
        <f>IF($L148="","",IF($C148&gt;$M148,"End of Frame Delimiter",IFERROR(INDEX(Fields!$B$5:$B$48,MATCH($D148,Fields!$A$5:$A$48,0)),"MISSING")))</f>
        <v/>
      </c>
      <c r="F148" s="22" t="str">
        <f>IF($L148="","",SUMIF($L$5:L148,L148,$G$5:G148)-G148)</f>
        <v/>
      </c>
      <c r="G148" s="22" t="str">
        <f>IF($L148="","",IF($C148&gt;$M148,Overview!$B$26,IFERROR(INDEX(Fields!$F$5:$F$48,MATCH($D148,Fields!$A$5:$A$48,0)),0)))</f>
        <v/>
      </c>
      <c r="H148" s="22" t="str">
        <f t="shared" si="2"/>
        <v/>
      </c>
      <c r="I148" s="21" t="str">
        <f>IF($L148="","",IF($C148&gt;$M148,IF(Overview!$B$26=1,"uint8","uint8["&amp;Overview!$B$26&amp;"]"),IFERROR(INDEX(Fields!$E$5:$E$48,MATCH($D148,Fields!$A$5:$A$48,0)),"MISSING")))</f>
        <v/>
      </c>
      <c r="J148" s="21" t="str">
        <f>IF($L148="","",IF($C148&gt;$M148,"Fixed end-of-frame delimiter, value "&amp;Overview!$B$25&amp;".",IFERROR(INDEX(Fields!$G$5:$G$48,MATCH($D148,Fields!$A$5:$A$48,0)),"MISSING")))</f>
        <v/>
      </c>
      <c r="K148" s="21" t="str">
        <f>IF($L148="","",IF($C148&gt;$M148,"n/a",IFERROR(INDEX(Fields!$H$5:$H$48,MATCH($D148,Fields!$A$5:$A$48,0)),"MISSING")))</f>
        <v/>
      </c>
      <c r="L148" s="23" t="str">
        <f>IF(ROWS($L$5:L148)&gt;MAX('Packet Builder'!$O$5:$O$34),"",COUNTIF('Packet Builder'!$O$5:$O$34,"&lt;"&amp;ROWS($L$5:L148))+1)</f>
        <v/>
      </c>
      <c r="M148" s="23" t="str">
        <f>IF($L148="","",INDEX('Packet Builder'!$F$5:$F$34,$L148))</f>
        <v/>
      </c>
    </row>
    <row r="149" spans="1:13" x14ac:dyDescent="0.35">
      <c r="A149" s="21" t="str">
        <f>IF($L149="","",INDEX('Packet Builder'!$A$5:$A$34,$L149))</f>
        <v/>
      </c>
      <c r="B149" s="21" t="str">
        <f>IF($L149="","",INDEX('Packet Builder'!$B$5:$B$34,$L149))</f>
        <v/>
      </c>
      <c r="C149" s="22" t="str">
        <f>IF($L149="","",ROWS($L$5:L149)-(INDEX('Packet Builder'!$O$5:$O$34,$L149)-$M149-1))</f>
        <v/>
      </c>
      <c r="D149" s="22" t="str">
        <f>IF($L149="","",IF($C149&gt;$M149,"EOF",IFERROR(VALUE(TRIM(MID(SUBSTITUTE(INDEX('Packet Builder'!$P$5:$P$34,$L149),",",REPT(" ",LEN(INDEX('Packet Builder'!$P$5:$P$34,$L149)))),($C149-1)*LEN(INDEX('Packet Builder'!$P$5:$P$34,$L149))+1,LEN(INDEX('Packet Builder'!$P$5:$P$34,$L149))))),"ERR")))</f>
        <v/>
      </c>
      <c r="E149" s="21" t="str">
        <f>IF($L149="","",IF($C149&gt;$M149,"End of Frame Delimiter",IFERROR(INDEX(Fields!$B$5:$B$48,MATCH($D149,Fields!$A$5:$A$48,0)),"MISSING")))</f>
        <v/>
      </c>
      <c r="F149" s="22" t="str">
        <f>IF($L149="","",SUMIF($L$5:L149,L149,$G$5:G149)-G149)</f>
        <v/>
      </c>
      <c r="G149" s="22" t="str">
        <f>IF($L149="","",IF($C149&gt;$M149,Overview!$B$26,IFERROR(INDEX(Fields!$F$5:$F$48,MATCH($D149,Fields!$A$5:$A$48,0)),0)))</f>
        <v/>
      </c>
      <c r="H149" s="22" t="str">
        <f t="shared" si="2"/>
        <v/>
      </c>
      <c r="I149" s="21" t="str">
        <f>IF($L149="","",IF($C149&gt;$M149,IF(Overview!$B$26=1,"uint8","uint8["&amp;Overview!$B$26&amp;"]"),IFERROR(INDEX(Fields!$E$5:$E$48,MATCH($D149,Fields!$A$5:$A$48,0)),"MISSING")))</f>
        <v/>
      </c>
      <c r="J149" s="21" t="str">
        <f>IF($L149="","",IF($C149&gt;$M149,"Fixed end-of-frame delimiter, value "&amp;Overview!$B$25&amp;".",IFERROR(INDEX(Fields!$G$5:$G$48,MATCH($D149,Fields!$A$5:$A$48,0)),"MISSING")))</f>
        <v/>
      </c>
      <c r="K149" s="21" t="str">
        <f>IF($L149="","",IF($C149&gt;$M149,"n/a",IFERROR(INDEX(Fields!$H$5:$H$48,MATCH($D149,Fields!$A$5:$A$48,0)),"MISSING")))</f>
        <v/>
      </c>
      <c r="L149" s="23" t="str">
        <f>IF(ROWS($L$5:L149)&gt;MAX('Packet Builder'!$O$5:$O$34),"",COUNTIF('Packet Builder'!$O$5:$O$34,"&lt;"&amp;ROWS($L$5:L149))+1)</f>
        <v/>
      </c>
      <c r="M149" s="23" t="str">
        <f>IF($L149="","",INDEX('Packet Builder'!$F$5:$F$34,$L149))</f>
        <v/>
      </c>
    </row>
    <row r="150" spans="1:13" x14ac:dyDescent="0.35">
      <c r="A150" s="21" t="str">
        <f>IF($L150="","",INDEX('Packet Builder'!$A$5:$A$34,$L150))</f>
        <v/>
      </c>
      <c r="B150" s="21" t="str">
        <f>IF($L150="","",INDEX('Packet Builder'!$B$5:$B$34,$L150))</f>
        <v/>
      </c>
      <c r="C150" s="22" t="str">
        <f>IF($L150="","",ROWS($L$5:L150)-(INDEX('Packet Builder'!$O$5:$O$34,$L150)-$M150-1))</f>
        <v/>
      </c>
      <c r="D150" s="22" t="str">
        <f>IF($L150="","",IF($C150&gt;$M150,"EOF",IFERROR(VALUE(TRIM(MID(SUBSTITUTE(INDEX('Packet Builder'!$P$5:$P$34,$L150),",",REPT(" ",LEN(INDEX('Packet Builder'!$P$5:$P$34,$L150)))),($C150-1)*LEN(INDEX('Packet Builder'!$P$5:$P$34,$L150))+1,LEN(INDEX('Packet Builder'!$P$5:$P$34,$L150))))),"ERR")))</f>
        <v/>
      </c>
      <c r="E150" s="21" t="str">
        <f>IF($L150="","",IF($C150&gt;$M150,"End of Frame Delimiter",IFERROR(INDEX(Fields!$B$5:$B$48,MATCH($D150,Fields!$A$5:$A$48,0)),"MISSING")))</f>
        <v/>
      </c>
      <c r="F150" s="22" t="str">
        <f>IF($L150="","",SUMIF($L$5:L150,L150,$G$5:G150)-G150)</f>
        <v/>
      </c>
      <c r="G150" s="22" t="str">
        <f>IF($L150="","",IF($C150&gt;$M150,Overview!$B$26,IFERROR(INDEX(Fields!$F$5:$F$48,MATCH($D150,Fields!$A$5:$A$48,0)),0)))</f>
        <v/>
      </c>
      <c r="H150" s="22" t="str">
        <f t="shared" si="2"/>
        <v/>
      </c>
      <c r="I150" s="21" t="str">
        <f>IF($L150="","",IF($C150&gt;$M150,IF(Overview!$B$26=1,"uint8","uint8["&amp;Overview!$B$26&amp;"]"),IFERROR(INDEX(Fields!$E$5:$E$48,MATCH($D150,Fields!$A$5:$A$48,0)),"MISSING")))</f>
        <v/>
      </c>
      <c r="J150" s="21" t="str">
        <f>IF($L150="","",IF($C150&gt;$M150,"Fixed end-of-frame delimiter, value "&amp;Overview!$B$25&amp;".",IFERROR(INDEX(Fields!$G$5:$G$48,MATCH($D150,Fields!$A$5:$A$48,0)),"MISSING")))</f>
        <v/>
      </c>
      <c r="K150" s="21" t="str">
        <f>IF($L150="","",IF($C150&gt;$M150,"n/a",IFERROR(INDEX(Fields!$H$5:$H$48,MATCH($D150,Fields!$A$5:$A$48,0)),"MISSING")))</f>
        <v/>
      </c>
      <c r="L150" s="23" t="str">
        <f>IF(ROWS($L$5:L150)&gt;MAX('Packet Builder'!$O$5:$O$34),"",COUNTIF('Packet Builder'!$O$5:$O$34,"&lt;"&amp;ROWS($L$5:L150))+1)</f>
        <v/>
      </c>
      <c r="M150" s="23" t="str">
        <f>IF($L150="","",INDEX('Packet Builder'!$F$5:$F$34,$L150))</f>
        <v/>
      </c>
    </row>
    <row r="151" spans="1:13" x14ac:dyDescent="0.35">
      <c r="A151" s="21" t="str">
        <f>IF($L151="","",INDEX('Packet Builder'!$A$5:$A$34,$L151))</f>
        <v/>
      </c>
      <c r="B151" s="21" t="str">
        <f>IF($L151="","",INDEX('Packet Builder'!$B$5:$B$34,$L151))</f>
        <v/>
      </c>
      <c r="C151" s="22" t="str">
        <f>IF($L151="","",ROWS($L$5:L151)-(INDEX('Packet Builder'!$O$5:$O$34,$L151)-$M151-1))</f>
        <v/>
      </c>
      <c r="D151" s="22" t="str">
        <f>IF($L151="","",IF($C151&gt;$M151,"EOF",IFERROR(VALUE(TRIM(MID(SUBSTITUTE(INDEX('Packet Builder'!$P$5:$P$34,$L151),",",REPT(" ",LEN(INDEX('Packet Builder'!$P$5:$P$34,$L151)))),($C151-1)*LEN(INDEX('Packet Builder'!$P$5:$P$34,$L151))+1,LEN(INDEX('Packet Builder'!$P$5:$P$34,$L151))))),"ERR")))</f>
        <v/>
      </c>
      <c r="E151" s="21" t="str">
        <f>IF($L151="","",IF($C151&gt;$M151,"End of Frame Delimiter",IFERROR(INDEX(Fields!$B$5:$B$48,MATCH($D151,Fields!$A$5:$A$48,0)),"MISSING")))</f>
        <v/>
      </c>
      <c r="F151" s="22" t="str">
        <f>IF($L151="","",SUMIF($L$5:L151,L151,$G$5:G151)-G151)</f>
        <v/>
      </c>
      <c r="G151" s="22" t="str">
        <f>IF($L151="","",IF($C151&gt;$M151,Overview!$B$26,IFERROR(INDEX(Fields!$F$5:$F$48,MATCH($D151,Fields!$A$5:$A$48,0)),0)))</f>
        <v/>
      </c>
      <c r="H151" s="22" t="str">
        <f t="shared" si="2"/>
        <v/>
      </c>
      <c r="I151" s="21" t="str">
        <f>IF($L151="","",IF($C151&gt;$M151,IF(Overview!$B$26=1,"uint8","uint8["&amp;Overview!$B$26&amp;"]"),IFERROR(INDEX(Fields!$E$5:$E$48,MATCH($D151,Fields!$A$5:$A$48,0)),"MISSING")))</f>
        <v/>
      </c>
      <c r="J151" s="21" t="str">
        <f>IF($L151="","",IF($C151&gt;$M151,"Fixed end-of-frame delimiter, value "&amp;Overview!$B$25&amp;".",IFERROR(INDEX(Fields!$G$5:$G$48,MATCH($D151,Fields!$A$5:$A$48,0)),"MISSING")))</f>
        <v/>
      </c>
      <c r="K151" s="21" t="str">
        <f>IF($L151="","",IF($C151&gt;$M151,"n/a",IFERROR(INDEX(Fields!$H$5:$H$48,MATCH($D151,Fields!$A$5:$A$48,0)),"MISSING")))</f>
        <v/>
      </c>
      <c r="L151" s="23" t="str">
        <f>IF(ROWS($L$5:L151)&gt;MAX('Packet Builder'!$O$5:$O$34),"",COUNTIF('Packet Builder'!$O$5:$O$34,"&lt;"&amp;ROWS($L$5:L151))+1)</f>
        <v/>
      </c>
      <c r="M151" s="23" t="str">
        <f>IF($L151="","",INDEX('Packet Builder'!$F$5:$F$34,$L151))</f>
        <v/>
      </c>
    </row>
    <row r="152" spans="1:13" x14ac:dyDescent="0.35">
      <c r="A152" s="21" t="str">
        <f>IF($L152="","",INDEX('Packet Builder'!$A$5:$A$34,$L152))</f>
        <v/>
      </c>
      <c r="B152" s="21" t="str">
        <f>IF($L152="","",INDEX('Packet Builder'!$B$5:$B$34,$L152))</f>
        <v/>
      </c>
      <c r="C152" s="22" t="str">
        <f>IF($L152="","",ROWS($L$5:L152)-(INDEX('Packet Builder'!$O$5:$O$34,$L152)-$M152-1))</f>
        <v/>
      </c>
      <c r="D152" s="22" t="str">
        <f>IF($L152="","",IF($C152&gt;$M152,"EOF",IFERROR(VALUE(TRIM(MID(SUBSTITUTE(INDEX('Packet Builder'!$P$5:$P$34,$L152),",",REPT(" ",LEN(INDEX('Packet Builder'!$P$5:$P$34,$L152)))),($C152-1)*LEN(INDEX('Packet Builder'!$P$5:$P$34,$L152))+1,LEN(INDEX('Packet Builder'!$P$5:$P$34,$L152))))),"ERR")))</f>
        <v/>
      </c>
      <c r="E152" s="21" t="str">
        <f>IF($L152="","",IF($C152&gt;$M152,"End of Frame Delimiter",IFERROR(INDEX(Fields!$B$5:$B$48,MATCH($D152,Fields!$A$5:$A$48,0)),"MISSING")))</f>
        <v/>
      </c>
      <c r="F152" s="22" t="str">
        <f>IF($L152="","",SUMIF($L$5:L152,L152,$G$5:G152)-G152)</f>
        <v/>
      </c>
      <c r="G152" s="22" t="str">
        <f>IF($L152="","",IF($C152&gt;$M152,Overview!$B$26,IFERROR(INDEX(Fields!$F$5:$F$48,MATCH($D152,Fields!$A$5:$A$48,0)),0)))</f>
        <v/>
      </c>
      <c r="H152" s="22" t="str">
        <f t="shared" si="2"/>
        <v/>
      </c>
      <c r="I152" s="21" t="str">
        <f>IF($L152="","",IF($C152&gt;$M152,IF(Overview!$B$26=1,"uint8","uint8["&amp;Overview!$B$26&amp;"]"),IFERROR(INDEX(Fields!$E$5:$E$48,MATCH($D152,Fields!$A$5:$A$48,0)),"MISSING")))</f>
        <v/>
      </c>
      <c r="J152" s="21" t="str">
        <f>IF($L152="","",IF($C152&gt;$M152,"Fixed end-of-frame delimiter, value "&amp;Overview!$B$25&amp;".",IFERROR(INDEX(Fields!$G$5:$G$48,MATCH($D152,Fields!$A$5:$A$48,0)),"MISSING")))</f>
        <v/>
      </c>
      <c r="K152" s="21" t="str">
        <f>IF($L152="","",IF($C152&gt;$M152,"n/a",IFERROR(INDEX(Fields!$H$5:$H$48,MATCH($D152,Fields!$A$5:$A$48,0)),"MISSING")))</f>
        <v/>
      </c>
      <c r="L152" s="23" t="str">
        <f>IF(ROWS($L$5:L152)&gt;MAX('Packet Builder'!$O$5:$O$34),"",COUNTIF('Packet Builder'!$O$5:$O$34,"&lt;"&amp;ROWS($L$5:L152))+1)</f>
        <v/>
      </c>
      <c r="M152" s="23" t="str">
        <f>IF($L152="","",INDEX('Packet Builder'!$F$5:$F$34,$L152))</f>
        <v/>
      </c>
    </row>
    <row r="153" spans="1:13" x14ac:dyDescent="0.35">
      <c r="A153" s="21" t="str">
        <f>IF($L153="","",INDEX('Packet Builder'!$A$5:$A$34,$L153))</f>
        <v/>
      </c>
      <c r="B153" s="21" t="str">
        <f>IF($L153="","",INDEX('Packet Builder'!$B$5:$B$34,$L153))</f>
        <v/>
      </c>
      <c r="C153" s="22" t="str">
        <f>IF($L153="","",ROWS($L$5:L153)-(INDEX('Packet Builder'!$O$5:$O$34,$L153)-$M153-1))</f>
        <v/>
      </c>
      <c r="D153" s="22" t="str">
        <f>IF($L153="","",IF($C153&gt;$M153,"EOF",IFERROR(VALUE(TRIM(MID(SUBSTITUTE(INDEX('Packet Builder'!$P$5:$P$34,$L153),",",REPT(" ",LEN(INDEX('Packet Builder'!$P$5:$P$34,$L153)))),($C153-1)*LEN(INDEX('Packet Builder'!$P$5:$P$34,$L153))+1,LEN(INDEX('Packet Builder'!$P$5:$P$34,$L153))))),"ERR")))</f>
        <v/>
      </c>
      <c r="E153" s="21" t="str">
        <f>IF($L153="","",IF($C153&gt;$M153,"End of Frame Delimiter",IFERROR(INDEX(Fields!$B$5:$B$48,MATCH($D153,Fields!$A$5:$A$48,0)),"MISSING")))</f>
        <v/>
      </c>
      <c r="F153" s="22" t="str">
        <f>IF($L153="","",SUMIF($L$5:L153,L153,$G$5:G153)-G153)</f>
        <v/>
      </c>
      <c r="G153" s="22" t="str">
        <f>IF($L153="","",IF($C153&gt;$M153,Overview!$B$26,IFERROR(INDEX(Fields!$F$5:$F$48,MATCH($D153,Fields!$A$5:$A$48,0)),0)))</f>
        <v/>
      </c>
      <c r="H153" s="22" t="str">
        <f t="shared" si="2"/>
        <v/>
      </c>
      <c r="I153" s="21" t="str">
        <f>IF($L153="","",IF($C153&gt;$M153,IF(Overview!$B$26=1,"uint8","uint8["&amp;Overview!$B$26&amp;"]"),IFERROR(INDEX(Fields!$E$5:$E$48,MATCH($D153,Fields!$A$5:$A$48,0)),"MISSING")))</f>
        <v/>
      </c>
      <c r="J153" s="21" t="str">
        <f>IF($L153="","",IF($C153&gt;$M153,"Fixed end-of-frame delimiter, value "&amp;Overview!$B$25&amp;".",IFERROR(INDEX(Fields!$G$5:$G$48,MATCH($D153,Fields!$A$5:$A$48,0)),"MISSING")))</f>
        <v/>
      </c>
      <c r="K153" s="21" t="str">
        <f>IF($L153="","",IF($C153&gt;$M153,"n/a",IFERROR(INDEX(Fields!$H$5:$H$48,MATCH($D153,Fields!$A$5:$A$48,0)),"MISSING")))</f>
        <v/>
      </c>
      <c r="L153" s="23" t="str">
        <f>IF(ROWS($L$5:L153)&gt;MAX('Packet Builder'!$O$5:$O$34),"",COUNTIF('Packet Builder'!$O$5:$O$34,"&lt;"&amp;ROWS($L$5:L153))+1)</f>
        <v/>
      </c>
      <c r="M153" s="23" t="str">
        <f>IF($L153="","",INDEX('Packet Builder'!$F$5:$F$34,$L153))</f>
        <v/>
      </c>
    </row>
    <row r="154" spans="1:13" x14ac:dyDescent="0.35">
      <c r="A154" s="21" t="str">
        <f>IF($L154="","",INDEX('Packet Builder'!$A$5:$A$34,$L154))</f>
        <v/>
      </c>
      <c r="B154" s="21" t="str">
        <f>IF($L154="","",INDEX('Packet Builder'!$B$5:$B$34,$L154))</f>
        <v/>
      </c>
      <c r="C154" s="22" t="str">
        <f>IF($L154="","",ROWS($L$5:L154)-(INDEX('Packet Builder'!$O$5:$O$34,$L154)-$M154-1))</f>
        <v/>
      </c>
      <c r="D154" s="22" t="str">
        <f>IF($L154="","",IF($C154&gt;$M154,"EOF",IFERROR(VALUE(TRIM(MID(SUBSTITUTE(INDEX('Packet Builder'!$P$5:$P$34,$L154),",",REPT(" ",LEN(INDEX('Packet Builder'!$P$5:$P$34,$L154)))),($C154-1)*LEN(INDEX('Packet Builder'!$P$5:$P$34,$L154))+1,LEN(INDEX('Packet Builder'!$P$5:$P$34,$L154))))),"ERR")))</f>
        <v/>
      </c>
      <c r="E154" s="21" t="str">
        <f>IF($L154="","",IF($C154&gt;$M154,"End of Frame Delimiter",IFERROR(INDEX(Fields!$B$5:$B$48,MATCH($D154,Fields!$A$5:$A$48,0)),"MISSING")))</f>
        <v/>
      </c>
      <c r="F154" s="22" t="str">
        <f>IF($L154="","",SUMIF($L$5:L154,L154,$G$5:G154)-G154)</f>
        <v/>
      </c>
      <c r="G154" s="22" t="str">
        <f>IF($L154="","",IF($C154&gt;$M154,Overview!$B$26,IFERROR(INDEX(Fields!$F$5:$F$48,MATCH($D154,Fields!$A$5:$A$48,0)),0)))</f>
        <v/>
      </c>
      <c r="H154" s="22" t="str">
        <f t="shared" si="2"/>
        <v/>
      </c>
      <c r="I154" s="21" t="str">
        <f>IF($L154="","",IF($C154&gt;$M154,IF(Overview!$B$26=1,"uint8","uint8["&amp;Overview!$B$26&amp;"]"),IFERROR(INDEX(Fields!$E$5:$E$48,MATCH($D154,Fields!$A$5:$A$48,0)),"MISSING")))</f>
        <v/>
      </c>
      <c r="J154" s="21" t="str">
        <f>IF($L154="","",IF($C154&gt;$M154,"Fixed end-of-frame delimiter, value "&amp;Overview!$B$25&amp;".",IFERROR(INDEX(Fields!$G$5:$G$48,MATCH($D154,Fields!$A$5:$A$48,0)),"MISSING")))</f>
        <v/>
      </c>
      <c r="K154" s="21" t="str">
        <f>IF($L154="","",IF($C154&gt;$M154,"n/a",IFERROR(INDEX(Fields!$H$5:$H$48,MATCH($D154,Fields!$A$5:$A$48,0)),"MISSING")))</f>
        <v/>
      </c>
      <c r="L154" s="23" t="str">
        <f>IF(ROWS($L$5:L154)&gt;MAX('Packet Builder'!$O$5:$O$34),"",COUNTIF('Packet Builder'!$O$5:$O$34,"&lt;"&amp;ROWS($L$5:L154))+1)</f>
        <v/>
      </c>
      <c r="M154" s="23" t="str">
        <f>IF($L154="","",INDEX('Packet Builder'!$F$5:$F$34,$L154))</f>
        <v/>
      </c>
    </row>
    <row r="155" spans="1:13" x14ac:dyDescent="0.35">
      <c r="A155" s="21" t="str">
        <f>IF($L155="","",INDEX('Packet Builder'!$A$5:$A$34,$L155))</f>
        <v/>
      </c>
      <c r="B155" s="21" t="str">
        <f>IF($L155="","",INDEX('Packet Builder'!$B$5:$B$34,$L155))</f>
        <v/>
      </c>
      <c r="C155" s="22" t="str">
        <f>IF($L155="","",ROWS($L$5:L155)-(INDEX('Packet Builder'!$O$5:$O$34,$L155)-$M155-1))</f>
        <v/>
      </c>
      <c r="D155" s="22" t="str">
        <f>IF($L155="","",IF($C155&gt;$M155,"EOF",IFERROR(VALUE(TRIM(MID(SUBSTITUTE(INDEX('Packet Builder'!$P$5:$P$34,$L155),",",REPT(" ",LEN(INDEX('Packet Builder'!$P$5:$P$34,$L155)))),($C155-1)*LEN(INDEX('Packet Builder'!$P$5:$P$34,$L155))+1,LEN(INDEX('Packet Builder'!$P$5:$P$34,$L155))))),"ERR")))</f>
        <v/>
      </c>
      <c r="E155" s="21" t="str">
        <f>IF($L155="","",IF($C155&gt;$M155,"End of Frame Delimiter",IFERROR(INDEX(Fields!$B$5:$B$48,MATCH($D155,Fields!$A$5:$A$48,0)),"MISSING")))</f>
        <v/>
      </c>
      <c r="F155" s="22" t="str">
        <f>IF($L155="","",SUMIF($L$5:L155,L155,$G$5:G155)-G155)</f>
        <v/>
      </c>
      <c r="G155" s="22" t="str">
        <f>IF($L155="","",IF($C155&gt;$M155,Overview!$B$26,IFERROR(INDEX(Fields!$F$5:$F$48,MATCH($D155,Fields!$A$5:$A$48,0)),0)))</f>
        <v/>
      </c>
      <c r="H155" s="22" t="str">
        <f t="shared" si="2"/>
        <v/>
      </c>
      <c r="I155" s="21" t="str">
        <f>IF($L155="","",IF($C155&gt;$M155,IF(Overview!$B$26=1,"uint8","uint8["&amp;Overview!$B$26&amp;"]"),IFERROR(INDEX(Fields!$E$5:$E$48,MATCH($D155,Fields!$A$5:$A$48,0)),"MISSING")))</f>
        <v/>
      </c>
      <c r="J155" s="21" t="str">
        <f>IF($L155="","",IF($C155&gt;$M155,"Fixed end-of-frame delimiter, value "&amp;Overview!$B$25&amp;".",IFERROR(INDEX(Fields!$G$5:$G$48,MATCH($D155,Fields!$A$5:$A$48,0)),"MISSING")))</f>
        <v/>
      </c>
      <c r="K155" s="21" t="str">
        <f>IF($L155="","",IF($C155&gt;$M155,"n/a",IFERROR(INDEX(Fields!$H$5:$H$48,MATCH($D155,Fields!$A$5:$A$48,0)),"MISSING")))</f>
        <v/>
      </c>
      <c r="L155" s="23" t="str">
        <f>IF(ROWS($L$5:L155)&gt;MAX('Packet Builder'!$O$5:$O$34),"",COUNTIF('Packet Builder'!$O$5:$O$34,"&lt;"&amp;ROWS($L$5:L155))+1)</f>
        <v/>
      </c>
      <c r="M155" s="23" t="str">
        <f>IF($L155="","",INDEX('Packet Builder'!$F$5:$F$34,$L155))</f>
        <v/>
      </c>
    </row>
    <row r="156" spans="1:13" x14ac:dyDescent="0.35">
      <c r="A156" s="21" t="str">
        <f>IF($L156="","",INDEX('Packet Builder'!$A$5:$A$34,$L156))</f>
        <v/>
      </c>
      <c r="B156" s="21" t="str">
        <f>IF($L156="","",INDEX('Packet Builder'!$B$5:$B$34,$L156))</f>
        <v/>
      </c>
      <c r="C156" s="22" t="str">
        <f>IF($L156="","",ROWS($L$5:L156)-(INDEX('Packet Builder'!$O$5:$O$34,$L156)-$M156-1))</f>
        <v/>
      </c>
      <c r="D156" s="22" t="str">
        <f>IF($L156="","",IF($C156&gt;$M156,"EOF",IFERROR(VALUE(TRIM(MID(SUBSTITUTE(INDEX('Packet Builder'!$P$5:$P$34,$L156),",",REPT(" ",LEN(INDEX('Packet Builder'!$P$5:$P$34,$L156)))),($C156-1)*LEN(INDEX('Packet Builder'!$P$5:$P$34,$L156))+1,LEN(INDEX('Packet Builder'!$P$5:$P$34,$L156))))),"ERR")))</f>
        <v/>
      </c>
      <c r="E156" s="21" t="str">
        <f>IF($L156="","",IF($C156&gt;$M156,"End of Frame Delimiter",IFERROR(INDEX(Fields!$B$5:$B$48,MATCH($D156,Fields!$A$5:$A$48,0)),"MISSING")))</f>
        <v/>
      </c>
      <c r="F156" s="22" t="str">
        <f>IF($L156="","",SUMIF($L$5:L156,L156,$G$5:G156)-G156)</f>
        <v/>
      </c>
      <c r="G156" s="22" t="str">
        <f>IF($L156="","",IF($C156&gt;$M156,Overview!$B$26,IFERROR(INDEX(Fields!$F$5:$F$48,MATCH($D156,Fields!$A$5:$A$48,0)),0)))</f>
        <v/>
      </c>
      <c r="H156" s="22" t="str">
        <f t="shared" si="2"/>
        <v/>
      </c>
      <c r="I156" s="21" t="str">
        <f>IF($L156="","",IF($C156&gt;$M156,IF(Overview!$B$26=1,"uint8","uint8["&amp;Overview!$B$26&amp;"]"),IFERROR(INDEX(Fields!$E$5:$E$48,MATCH($D156,Fields!$A$5:$A$48,0)),"MISSING")))</f>
        <v/>
      </c>
      <c r="J156" s="21" t="str">
        <f>IF($L156="","",IF($C156&gt;$M156,"Fixed end-of-frame delimiter, value "&amp;Overview!$B$25&amp;".",IFERROR(INDEX(Fields!$G$5:$G$48,MATCH($D156,Fields!$A$5:$A$48,0)),"MISSING")))</f>
        <v/>
      </c>
      <c r="K156" s="21" t="str">
        <f>IF($L156="","",IF($C156&gt;$M156,"n/a",IFERROR(INDEX(Fields!$H$5:$H$48,MATCH($D156,Fields!$A$5:$A$48,0)),"MISSING")))</f>
        <v/>
      </c>
      <c r="L156" s="23" t="str">
        <f>IF(ROWS($L$5:L156)&gt;MAX('Packet Builder'!$O$5:$O$34),"",COUNTIF('Packet Builder'!$O$5:$O$34,"&lt;"&amp;ROWS($L$5:L156))+1)</f>
        <v/>
      </c>
      <c r="M156" s="23" t="str">
        <f>IF($L156="","",INDEX('Packet Builder'!$F$5:$F$34,$L156))</f>
        <v/>
      </c>
    </row>
    <row r="157" spans="1:13" x14ac:dyDescent="0.35">
      <c r="A157" s="21" t="str">
        <f>IF($L157="","",INDEX('Packet Builder'!$A$5:$A$34,$L157))</f>
        <v/>
      </c>
      <c r="B157" s="21" t="str">
        <f>IF($L157="","",INDEX('Packet Builder'!$B$5:$B$34,$L157))</f>
        <v/>
      </c>
      <c r="C157" s="22" t="str">
        <f>IF($L157="","",ROWS($L$5:L157)-(INDEX('Packet Builder'!$O$5:$O$34,$L157)-$M157-1))</f>
        <v/>
      </c>
      <c r="D157" s="22" t="str">
        <f>IF($L157="","",IF($C157&gt;$M157,"EOF",IFERROR(VALUE(TRIM(MID(SUBSTITUTE(INDEX('Packet Builder'!$P$5:$P$34,$L157),",",REPT(" ",LEN(INDEX('Packet Builder'!$P$5:$P$34,$L157)))),($C157-1)*LEN(INDEX('Packet Builder'!$P$5:$P$34,$L157))+1,LEN(INDEX('Packet Builder'!$P$5:$P$34,$L157))))),"ERR")))</f>
        <v/>
      </c>
      <c r="E157" s="21" t="str">
        <f>IF($L157="","",IF($C157&gt;$M157,"End of Frame Delimiter",IFERROR(INDEX(Fields!$B$5:$B$48,MATCH($D157,Fields!$A$5:$A$48,0)),"MISSING")))</f>
        <v/>
      </c>
      <c r="F157" s="22" t="str">
        <f>IF($L157="","",SUMIF($L$5:L157,L157,$G$5:G157)-G157)</f>
        <v/>
      </c>
      <c r="G157" s="22" t="str">
        <f>IF($L157="","",IF($C157&gt;$M157,Overview!$B$26,IFERROR(INDEX(Fields!$F$5:$F$48,MATCH($D157,Fields!$A$5:$A$48,0)),0)))</f>
        <v/>
      </c>
      <c r="H157" s="22" t="str">
        <f t="shared" si="2"/>
        <v/>
      </c>
      <c r="I157" s="21" t="str">
        <f>IF($L157="","",IF($C157&gt;$M157,IF(Overview!$B$26=1,"uint8","uint8["&amp;Overview!$B$26&amp;"]"),IFERROR(INDEX(Fields!$E$5:$E$48,MATCH($D157,Fields!$A$5:$A$48,0)),"MISSING")))</f>
        <v/>
      </c>
      <c r="J157" s="21" t="str">
        <f>IF($L157="","",IF($C157&gt;$M157,"Fixed end-of-frame delimiter, value "&amp;Overview!$B$25&amp;".",IFERROR(INDEX(Fields!$G$5:$G$48,MATCH($D157,Fields!$A$5:$A$48,0)),"MISSING")))</f>
        <v/>
      </c>
      <c r="K157" s="21" t="str">
        <f>IF($L157="","",IF($C157&gt;$M157,"n/a",IFERROR(INDEX(Fields!$H$5:$H$48,MATCH($D157,Fields!$A$5:$A$48,0)),"MISSING")))</f>
        <v/>
      </c>
      <c r="L157" s="23" t="str">
        <f>IF(ROWS($L$5:L157)&gt;MAX('Packet Builder'!$O$5:$O$34),"",COUNTIF('Packet Builder'!$O$5:$O$34,"&lt;"&amp;ROWS($L$5:L157))+1)</f>
        <v/>
      </c>
      <c r="M157" s="23" t="str">
        <f>IF($L157="","",INDEX('Packet Builder'!$F$5:$F$34,$L157))</f>
        <v/>
      </c>
    </row>
    <row r="158" spans="1:13" x14ac:dyDescent="0.35">
      <c r="A158" s="21" t="str">
        <f>IF($L158="","",INDEX('Packet Builder'!$A$5:$A$34,$L158))</f>
        <v/>
      </c>
      <c r="B158" s="21" t="str">
        <f>IF($L158="","",INDEX('Packet Builder'!$B$5:$B$34,$L158))</f>
        <v/>
      </c>
      <c r="C158" s="22" t="str">
        <f>IF($L158="","",ROWS($L$5:L158)-(INDEX('Packet Builder'!$O$5:$O$34,$L158)-$M158-1))</f>
        <v/>
      </c>
      <c r="D158" s="22" t="str">
        <f>IF($L158="","",IF($C158&gt;$M158,"EOF",IFERROR(VALUE(TRIM(MID(SUBSTITUTE(INDEX('Packet Builder'!$P$5:$P$34,$L158),",",REPT(" ",LEN(INDEX('Packet Builder'!$P$5:$P$34,$L158)))),($C158-1)*LEN(INDEX('Packet Builder'!$P$5:$P$34,$L158))+1,LEN(INDEX('Packet Builder'!$P$5:$P$34,$L158))))),"ERR")))</f>
        <v/>
      </c>
      <c r="E158" s="21" t="str">
        <f>IF($L158="","",IF($C158&gt;$M158,"End of Frame Delimiter",IFERROR(INDEX(Fields!$B$5:$B$48,MATCH($D158,Fields!$A$5:$A$48,0)),"MISSING")))</f>
        <v/>
      </c>
      <c r="F158" s="22" t="str">
        <f>IF($L158="","",SUMIF($L$5:L158,L158,$G$5:G158)-G158)</f>
        <v/>
      </c>
      <c r="G158" s="22" t="str">
        <f>IF($L158="","",IF($C158&gt;$M158,Overview!$B$26,IFERROR(INDEX(Fields!$F$5:$F$48,MATCH($D158,Fields!$A$5:$A$48,0)),0)))</f>
        <v/>
      </c>
      <c r="H158" s="22" t="str">
        <f t="shared" si="2"/>
        <v/>
      </c>
      <c r="I158" s="21" t="str">
        <f>IF($L158="","",IF($C158&gt;$M158,IF(Overview!$B$26=1,"uint8","uint8["&amp;Overview!$B$26&amp;"]"),IFERROR(INDEX(Fields!$E$5:$E$48,MATCH($D158,Fields!$A$5:$A$48,0)),"MISSING")))</f>
        <v/>
      </c>
      <c r="J158" s="21" t="str">
        <f>IF($L158="","",IF($C158&gt;$M158,"Fixed end-of-frame delimiter, value "&amp;Overview!$B$25&amp;".",IFERROR(INDEX(Fields!$G$5:$G$48,MATCH($D158,Fields!$A$5:$A$48,0)),"MISSING")))</f>
        <v/>
      </c>
      <c r="K158" s="21" t="str">
        <f>IF($L158="","",IF($C158&gt;$M158,"n/a",IFERROR(INDEX(Fields!$H$5:$H$48,MATCH($D158,Fields!$A$5:$A$48,0)),"MISSING")))</f>
        <v/>
      </c>
      <c r="L158" s="23" t="str">
        <f>IF(ROWS($L$5:L158)&gt;MAX('Packet Builder'!$O$5:$O$34),"",COUNTIF('Packet Builder'!$O$5:$O$34,"&lt;"&amp;ROWS($L$5:L158))+1)</f>
        <v/>
      </c>
      <c r="M158" s="23" t="str">
        <f>IF($L158="","",INDEX('Packet Builder'!$F$5:$F$34,$L158))</f>
        <v/>
      </c>
    </row>
    <row r="159" spans="1:13" x14ac:dyDescent="0.35">
      <c r="A159" s="21" t="str">
        <f>IF($L159="","",INDEX('Packet Builder'!$A$5:$A$34,$L159))</f>
        <v/>
      </c>
      <c r="B159" s="21" t="str">
        <f>IF($L159="","",INDEX('Packet Builder'!$B$5:$B$34,$L159))</f>
        <v/>
      </c>
      <c r="C159" s="22" t="str">
        <f>IF($L159="","",ROWS($L$5:L159)-(INDEX('Packet Builder'!$O$5:$O$34,$L159)-$M159-1))</f>
        <v/>
      </c>
      <c r="D159" s="22" t="str">
        <f>IF($L159="","",IF($C159&gt;$M159,"EOF",IFERROR(VALUE(TRIM(MID(SUBSTITUTE(INDEX('Packet Builder'!$P$5:$P$34,$L159),",",REPT(" ",LEN(INDEX('Packet Builder'!$P$5:$P$34,$L159)))),($C159-1)*LEN(INDEX('Packet Builder'!$P$5:$P$34,$L159))+1,LEN(INDEX('Packet Builder'!$P$5:$P$34,$L159))))),"ERR")))</f>
        <v/>
      </c>
      <c r="E159" s="21" t="str">
        <f>IF($L159="","",IF($C159&gt;$M159,"End of Frame Delimiter",IFERROR(INDEX(Fields!$B$5:$B$48,MATCH($D159,Fields!$A$5:$A$48,0)),"MISSING")))</f>
        <v/>
      </c>
      <c r="F159" s="22" t="str">
        <f>IF($L159="","",SUMIF($L$5:L159,L159,$G$5:G159)-G159)</f>
        <v/>
      </c>
      <c r="G159" s="22" t="str">
        <f>IF($L159="","",IF($C159&gt;$M159,Overview!$B$26,IFERROR(INDEX(Fields!$F$5:$F$48,MATCH($D159,Fields!$A$5:$A$48,0)),0)))</f>
        <v/>
      </c>
      <c r="H159" s="22" t="str">
        <f t="shared" si="2"/>
        <v/>
      </c>
      <c r="I159" s="21" t="str">
        <f>IF($L159="","",IF($C159&gt;$M159,IF(Overview!$B$26=1,"uint8","uint8["&amp;Overview!$B$26&amp;"]"),IFERROR(INDEX(Fields!$E$5:$E$48,MATCH($D159,Fields!$A$5:$A$48,0)),"MISSING")))</f>
        <v/>
      </c>
      <c r="J159" s="21" t="str">
        <f>IF($L159="","",IF($C159&gt;$M159,"Fixed end-of-frame delimiter, value "&amp;Overview!$B$25&amp;".",IFERROR(INDEX(Fields!$G$5:$G$48,MATCH($D159,Fields!$A$5:$A$48,0)),"MISSING")))</f>
        <v/>
      </c>
      <c r="K159" s="21" t="str">
        <f>IF($L159="","",IF($C159&gt;$M159,"n/a",IFERROR(INDEX(Fields!$H$5:$H$48,MATCH($D159,Fields!$A$5:$A$48,0)),"MISSING")))</f>
        <v/>
      </c>
      <c r="L159" s="23" t="str">
        <f>IF(ROWS($L$5:L159)&gt;MAX('Packet Builder'!$O$5:$O$34),"",COUNTIF('Packet Builder'!$O$5:$O$34,"&lt;"&amp;ROWS($L$5:L159))+1)</f>
        <v/>
      </c>
      <c r="M159" s="23" t="str">
        <f>IF($L159="","",INDEX('Packet Builder'!$F$5:$F$34,$L159))</f>
        <v/>
      </c>
    </row>
    <row r="160" spans="1:13" x14ac:dyDescent="0.35">
      <c r="A160" s="21" t="str">
        <f>IF($L160="","",INDEX('Packet Builder'!$A$5:$A$34,$L160))</f>
        <v/>
      </c>
      <c r="B160" s="21" t="str">
        <f>IF($L160="","",INDEX('Packet Builder'!$B$5:$B$34,$L160))</f>
        <v/>
      </c>
      <c r="C160" s="22" t="str">
        <f>IF($L160="","",ROWS($L$5:L160)-(INDEX('Packet Builder'!$O$5:$O$34,$L160)-$M160-1))</f>
        <v/>
      </c>
      <c r="D160" s="22" t="str">
        <f>IF($L160="","",IF($C160&gt;$M160,"EOF",IFERROR(VALUE(TRIM(MID(SUBSTITUTE(INDEX('Packet Builder'!$P$5:$P$34,$L160),",",REPT(" ",LEN(INDEX('Packet Builder'!$P$5:$P$34,$L160)))),($C160-1)*LEN(INDEX('Packet Builder'!$P$5:$P$34,$L160))+1,LEN(INDEX('Packet Builder'!$P$5:$P$34,$L160))))),"ERR")))</f>
        <v/>
      </c>
      <c r="E160" s="21" t="str">
        <f>IF($L160="","",IF($C160&gt;$M160,"End of Frame Delimiter",IFERROR(INDEX(Fields!$B$5:$B$48,MATCH($D160,Fields!$A$5:$A$48,0)),"MISSING")))</f>
        <v/>
      </c>
      <c r="F160" s="22" t="str">
        <f>IF($L160="","",SUMIF($L$5:L160,L160,$G$5:G160)-G160)</f>
        <v/>
      </c>
      <c r="G160" s="22" t="str">
        <f>IF($L160="","",IF($C160&gt;$M160,Overview!$B$26,IFERROR(INDEX(Fields!$F$5:$F$48,MATCH($D160,Fields!$A$5:$A$48,0)),0)))</f>
        <v/>
      </c>
      <c r="H160" s="22" t="str">
        <f t="shared" si="2"/>
        <v/>
      </c>
      <c r="I160" s="21" t="str">
        <f>IF($L160="","",IF($C160&gt;$M160,IF(Overview!$B$26=1,"uint8","uint8["&amp;Overview!$B$26&amp;"]"),IFERROR(INDEX(Fields!$E$5:$E$48,MATCH($D160,Fields!$A$5:$A$48,0)),"MISSING")))</f>
        <v/>
      </c>
      <c r="J160" s="21" t="str">
        <f>IF($L160="","",IF($C160&gt;$M160,"Fixed end-of-frame delimiter, value "&amp;Overview!$B$25&amp;".",IFERROR(INDEX(Fields!$G$5:$G$48,MATCH($D160,Fields!$A$5:$A$48,0)),"MISSING")))</f>
        <v/>
      </c>
      <c r="K160" s="21" t="str">
        <f>IF($L160="","",IF($C160&gt;$M160,"n/a",IFERROR(INDEX(Fields!$H$5:$H$48,MATCH($D160,Fields!$A$5:$A$48,0)),"MISSING")))</f>
        <v/>
      </c>
      <c r="L160" s="23" t="str">
        <f>IF(ROWS($L$5:L160)&gt;MAX('Packet Builder'!$O$5:$O$34),"",COUNTIF('Packet Builder'!$O$5:$O$34,"&lt;"&amp;ROWS($L$5:L160))+1)</f>
        <v/>
      </c>
      <c r="M160" s="23" t="str">
        <f>IF($L160="","",INDEX('Packet Builder'!$F$5:$F$34,$L160))</f>
        <v/>
      </c>
    </row>
    <row r="161" spans="1:13" x14ac:dyDescent="0.35">
      <c r="A161" s="21" t="str">
        <f>IF($L161="","",INDEX('Packet Builder'!$A$5:$A$34,$L161))</f>
        <v/>
      </c>
      <c r="B161" s="21" t="str">
        <f>IF($L161="","",INDEX('Packet Builder'!$B$5:$B$34,$L161))</f>
        <v/>
      </c>
      <c r="C161" s="22" t="str">
        <f>IF($L161="","",ROWS($L$5:L161)-(INDEX('Packet Builder'!$O$5:$O$34,$L161)-$M161-1))</f>
        <v/>
      </c>
      <c r="D161" s="22" t="str">
        <f>IF($L161="","",IF($C161&gt;$M161,"EOF",IFERROR(VALUE(TRIM(MID(SUBSTITUTE(INDEX('Packet Builder'!$P$5:$P$34,$L161),",",REPT(" ",LEN(INDEX('Packet Builder'!$P$5:$P$34,$L161)))),($C161-1)*LEN(INDEX('Packet Builder'!$P$5:$P$34,$L161))+1,LEN(INDEX('Packet Builder'!$P$5:$P$34,$L161))))),"ERR")))</f>
        <v/>
      </c>
      <c r="E161" s="21" t="str">
        <f>IF($L161="","",IF($C161&gt;$M161,"End of Frame Delimiter",IFERROR(INDEX(Fields!$B$5:$B$48,MATCH($D161,Fields!$A$5:$A$48,0)),"MISSING")))</f>
        <v/>
      </c>
      <c r="F161" s="22" t="str">
        <f>IF($L161="","",SUMIF($L$5:L161,L161,$G$5:G161)-G161)</f>
        <v/>
      </c>
      <c r="G161" s="22" t="str">
        <f>IF($L161="","",IF($C161&gt;$M161,Overview!$B$26,IFERROR(INDEX(Fields!$F$5:$F$48,MATCH($D161,Fields!$A$5:$A$48,0)),0)))</f>
        <v/>
      </c>
      <c r="H161" s="22" t="str">
        <f t="shared" si="2"/>
        <v/>
      </c>
      <c r="I161" s="21" t="str">
        <f>IF($L161="","",IF($C161&gt;$M161,IF(Overview!$B$26=1,"uint8","uint8["&amp;Overview!$B$26&amp;"]"),IFERROR(INDEX(Fields!$E$5:$E$48,MATCH($D161,Fields!$A$5:$A$48,0)),"MISSING")))</f>
        <v/>
      </c>
      <c r="J161" s="21" t="str">
        <f>IF($L161="","",IF($C161&gt;$M161,"Fixed end-of-frame delimiter, value "&amp;Overview!$B$25&amp;".",IFERROR(INDEX(Fields!$G$5:$G$48,MATCH($D161,Fields!$A$5:$A$48,0)),"MISSING")))</f>
        <v/>
      </c>
      <c r="K161" s="21" t="str">
        <f>IF($L161="","",IF($C161&gt;$M161,"n/a",IFERROR(INDEX(Fields!$H$5:$H$48,MATCH($D161,Fields!$A$5:$A$48,0)),"MISSING")))</f>
        <v/>
      </c>
      <c r="L161" s="23" t="str">
        <f>IF(ROWS($L$5:L161)&gt;MAX('Packet Builder'!$O$5:$O$34),"",COUNTIF('Packet Builder'!$O$5:$O$34,"&lt;"&amp;ROWS($L$5:L161))+1)</f>
        <v/>
      </c>
      <c r="M161" s="23" t="str">
        <f>IF($L161="","",INDEX('Packet Builder'!$F$5:$F$34,$L161))</f>
        <v/>
      </c>
    </row>
    <row r="162" spans="1:13" x14ac:dyDescent="0.35">
      <c r="A162" s="21" t="str">
        <f>IF($L162="","",INDEX('Packet Builder'!$A$5:$A$34,$L162))</f>
        <v/>
      </c>
      <c r="B162" s="21" t="str">
        <f>IF($L162="","",INDEX('Packet Builder'!$B$5:$B$34,$L162))</f>
        <v/>
      </c>
      <c r="C162" s="22" t="str">
        <f>IF($L162="","",ROWS($L$5:L162)-(INDEX('Packet Builder'!$O$5:$O$34,$L162)-$M162-1))</f>
        <v/>
      </c>
      <c r="D162" s="22" t="str">
        <f>IF($L162="","",IF($C162&gt;$M162,"EOF",IFERROR(VALUE(TRIM(MID(SUBSTITUTE(INDEX('Packet Builder'!$P$5:$P$34,$L162),",",REPT(" ",LEN(INDEX('Packet Builder'!$P$5:$P$34,$L162)))),($C162-1)*LEN(INDEX('Packet Builder'!$P$5:$P$34,$L162))+1,LEN(INDEX('Packet Builder'!$P$5:$P$34,$L162))))),"ERR")))</f>
        <v/>
      </c>
      <c r="E162" s="21" t="str">
        <f>IF($L162="","",IF($C162&gt;$M162,"End of Frame Delimiter",IFERROR(INDEX(Fields!$B$5:$B$48,MATCH($D162,Fields!$A$5:$A$48,0)),"MISSING")))</f>
        <v/>
      </c>
      <c r="F162" s="22" t="str">
        <f>IF($L162="","",SUMIF($L$5:L162,L162,$G$5:G162)-G162)</f>
        <v/>
      </c>
      <c r="G162" s="22" t="str">
        <f>IF($L162="","",IF($C162&gt;$M162,Overview!$B$26,IFERROR(INDEX(Fields!$F$5:$F$48,MATCH($D162,Fields!$A$5:$A$48,0)),0)))</f>
        <v/>
      </c>
      <c r="H162" s="22" t="str">
        <f t="shared" si="2"/>
        <v/>
      </c>
      <c r="I162" s="21" t="str">
        <f>IF($L162="","",IF($C162&gt;$M162,IF(Overview!$B$26=1,"uint8","uint8["&amp;Overview!$B$26&amp;"]"),IFERROR(INDEX(Fields!$E$5:$E$48,MATCH($D162,Fields!$A$5:$A$48,0)),"MISSING")))</f>
        <v/>
      </c>
      <c r="J162" s="21" t="str">
        <f>IF($L162="","",IF($C162&gt;$M162,"Fixed end-of-frame delimiter, value "&amp;Overview!$B$25&amp;".",IFERROR(INDEX(Fields!$G$5:$G$48,MATCH($D162,Fields!$A$5:$A$48,0)),"MISSING")))</f>
        <v/>
      </c>
      <c r="K162" s="21" t="str">
        <f>IF($L162="","",IF($C162&gt;$M162,"n/a",IFERROR(INDEX(Fields!$H$5:$H$48,MATCH($D162,Fields!$A$5:$A$48,0)),"MISSING")))</f>
        <v/>
      </c>
      <c r="L162" s="23" t="str">
        <f>IF(ROWS($L$5:L162)&gt;MAX('Packet Builder'!$O$5:$O$34),"",COUNTIF('Packet Builder'!$O$5:$O$34,"&lt;"&amp;ROWS($L$5:L162))+1)</f>
        <v/>
      </c>
      <c r="M162" s="23" t="str">
        <f>IF($L162="","",INDEX('Packet Builder'!$F$5:$F$34,$L162))</f>
        <v/>
      </c>
    </row>
    <row r="163" spans="1:13" x14ac:dyDescent="0.35">
      <c r="A163" s="21" t="str">
        <f>IF($L163="","",INDEX('Packet Builder'!$A$5:$A$34,$L163))</f>
        <v/>
      </c>
      <c r="B163" s="21" t="str">
        <f>IF($L163="","",INDEX('Packet Builder'!$B$5:$B$34,$L163))</f>
        <v/>
      </c>
      <c r="C163" s="22" t="str">
        <f>IF($L163="","",ROWS($L$5:L163)-(INDEX('Packet Builder'!$O$5:$O$34,$L163)-$M163-1))</f>
        <v/>
      </c>
      <c r="D163" s="22" t="str">
        <f>IF($L163="","",IF($C163&gt;$M163,"EOF",IFERROR(VALUE(TRIM(MID(SUBSTITUTE(INDEX('Packet Builder'!$P$5:$P$34,$L163),",",REPT(" ",LEN(INDEX('Packet Builder'!$P$5:$P$34,$L163)))),($C163-1)*LEN(INDEX('Packet Builder'!$P$5:$P$34,$L163))+1,LEN(INDEX('Packet Builder'!$P$5:$P$34,$L163))))),"ERR")))</f>
        <v/>
      </c>
      <c r="E163" s="21" t="str">
        <f>IF($L163="","",IF($C163&gt;$M163,"End of Frame Delimiter",IFERROR(INDEX(Fields!$B$5:$B$48,MATCH($D163,Fields!$A$5:$A$48,0)),"MISSING")))</f>
        <v/>
      </c>
      <c r="F163" s="22" t="str">
        <f>IF($L163="","",SUMIF($L$5:L163,L163,$G$5:G163)-G163)</f>
        <v/>
      </c>
      <c r="G163" s="22" t="str">
        <f>IF($L163="","",IF($C163&gt;$M163,Overview!$B$26,IFERROR(INDEX(Fields!$F$5:$F$48,MATCH($D163,Fields!$A$5:$A$48,0)),0)))</f>
        <v/>
      </c>
      <c r="H163" s="22" t="str">
        <f t="shared" si="2"/>
        <v/>
      </c>
      <c r="I163" s="21" t="str">
        <f>IF($L163="","",IF($C163&gt;$M163,IF(Overview!$B$26=1,"uint8","uint8["&amp;Overview!$B$26&amp;"]"),IFERROR(INDEX(Fields!$E$5:$E$48,MATCH($D163,Fields!$A$5:$A$48,0)),"MISSING")))</f>
        <v/>
      </c>
      <c r="J163" s="21" t="str">
        <f>IF($L163="","",IF($C163&gt;$M163,"Fixed end-of-frame delimiter, value "&amp;Overview!$B$25&amp;".",IFERROR(INDEX(Fields!$G$5:$G$48,MATCH($D163,Fields!$A$5:$A$48,0)),"MISSING")))</f>
        <v/>
      </c>
      <c r="K163" s="21" t="str">
        <f>IF($L163="","",IF($C163&gt;$M163,"n/a",IFERROR(INDEX(Fields!$H$5:$H$48,MATCH($D163,Fields!$A$5:$A$48,0)),"MISSING")))</f>
        <v/>
      </c>
      <c r="L163" s="23" t="str">
        <f>IF(ROWS($L$5:L163)&gt;MAX('Packet Builder'!$O$5:$O$34),"",COUNTIF('Packet Builder'!$O$5:$O$34,"&lt;"&amp;ROWS($L$5:L163))+1)</f>
        <v/>
      </c>
      <c r="M163" s="23" t="str">
        <f>IF($L163="","",INDEX('Packet Builder'!$F$5:$F$34,$L163))</f>
        <v/>
      </c>
    </row>
    <row r="164" spans="1:13" x14ac:dyDescent="0.35">
      <c r="A164" s="21" t="str">
        <f>IF($L164="","",INDEX('Packet Builder'!$A$5:$A$34,$L164))</f>
        <v/>
      </c>
      <c r="B164" s="21" t="str">
        <f>IF($L164="","",INDEX('Packet Builder'!$B$5:$B$34,$L164))</f>
        <v/>
      </c>
      <c r="C164" s="22" t="str">
        <f>IF($L164="","",ROWS($L$5:L164)-(INDEX('Packet Builder'!$O$5:$O$34,$L164)-$M164-1))</f>
        <v/>
      </c>
      <c r="D164" s="22" t="str">
        <f>IF($L164="","",IF($C164&gt;$M164,"EOF",IFERROR(VALUE(TRIM(MID(SUBSTITUTE(INDEX('Packet Builder'!$P$5:$P$34,$L164),",",REPT(" ",LEN(INDEX('Packet Builder'!$P$5:$P$34,$L164)))),($C164-1)*LEN(INDEX('Packet Builder'!$P$5:$P$34,$L164))+1,LEN(INDEX('Packet Builder'!$P$5:$P$34,$L164))))),"ERR")))</f>
        <v/>
      </c>
      <c r="E164" s="21" t="str">
        <f>IF($L164="","",IF($C164&gt;$M164,"End of Frame Delimiter",IFERROR(INDEX(Fields!$B$5:$B$48,MATCH($D164,Fields!$A$5:$A$48,0)),"MISSING")))</f>
        <v/>
      </c>
      <c r="F164" s="22" t="str">
        <f>IF($L164="","",SUMIF($L$5:L164,L164,$G$5:G164)-G164)</f>
        <v/>
      </c>
      <c r="G164" s="22" t="str">
        <f>IF($L164="","",IF($C164&gt;$M164,Overview!$B$26,IFERROR(INDEX(Fields!$F$5:$F$48,MATCH($D164,Fields!$A$5:$A$48,0)),0)))</f>
        <v/>
      </c>
      <c r="H164" s="22" t="str">
        <f t="shared" si="2"/>
        <v/>
      </c>
      <c r="I164" s="21" t="str">
        <f>IF($L164="","",IF($C164&gt;$M164,IF(Overview!$B$26=1,"uint8","uint8["&amp;Overview!$B$26&amp;"]"),IFERROR(INDEX(Fields!$E$5:$E$48,MATCH($D164,Fields!$A$5:$A$48,0)),"MISSING")))</f>
        <v/>
      </c>
      <c r="J164" s="21" t="str">
        <f>IF($L164="","",IF($C164&gt;$M164,"Fixed end-of-frame delimiter, value "&amp;Overview!$B$25&amp;".",IFERROR(INDEX(Fields!$G$5:$G$48,MATCH($D164,Fields!$A$5:$A$48,0)),"MISSING")))</f>
        <v/>
      </c>
      <c r="K164" s="21" t="str">
        <f>IF($L164="","",IF($C164&gt;$M164,"n/a",IFERROR(INDEX(Fields!$H$5:$H$48,MATCH($D164,Fields!$A$5:$A$48,0)),"MISSING")))</f>
        <v/>
      </c>
      <c r="L164" s="23" t="str">
        <f>IF(ROWS($L$5:L164)&gt;MAX('Packet Builder'!$O$5:$O$34),"",COUNTIF('Packet Builder'!$O$5:$O$34,"&lt;"&amp;ROWS($L$5:L164))+1)</f>
        <v/>
      </c>
      <c r="M164" s="23" t="str">
        <f>IF($L164="","",INDEX('Packet Builder'!$F$5:$F$34,$L164))</f>
        <v/>
      </c>
    </row>
    <row r="165" spans="1:13" x14ac:dyDescent="0.35">
      <c r="A165" s="21" t="str">
        <f>IF($L165="","",INDEX('Packet Builder'!$A$5:$A$34,$L165))</f>
        <v/>
      </c>
      <c r="B165" s="21" t="str">
        <f>IF($L165="","",INDEX('Packet Builder'!$B$5:$B$34,$L165))</f>
        <v/>
      </c>
      <c r="C165" s="22" t="str">
        <f>IF($L165="","",ROWS($L$5:L165)-(INDEX('Packet Builder'!$O$5:$O$34,$L165)-$M165-1))</f>
        <v/>
      </c>
      <c r="D165" s="22" t="str">
        <f>IF($L165="","",IF($C165&gt;$M165,"EOF",IFERROR(VALUE(TRIM(MID(SUBSTITUTE(INDEX('Packet Builder'!$P$5:$P$34,$L165),",",REPT(" ",LEN(INDEX('Packet Builder'!$P$5:$P$34,$L165)))),($C165-1)*LEN(INDEX('Packet Builder'!$P$5:$P$34,$L165))+1,LEN(INDEX('Packet Builder'!$P$5:$P$34,$L165))))),"ERR")))</f>
        <v/>
      </c>
      <c r="E165" s="21" t="str">
        <f>IF($L165="","",IF($C165&gt;$M165,"End of Frame Delimiter",IFERROR(INDEX(Fields!$B$5:$B$48,MATCH($D165,Fields!$A$5:$A$48,0)),"MISSING")))</f>
        <v/>
      </c>
      <c r="F165" s="22" t="str">
        <f>IF($L165="","",SUMIF($L$5:L165,L165,$G$5:G165)-G165)</f>
        <v/>
      </c>
      <c r="G165" s="22" t="str">
        <f>IF($L165="","",IF($C165&gt;$M165,Overview!$B$26,IFERROR(INDEX(Fields!$F$5:$F$48,MATCH($D165,Fields!$A$5:$A$48,0)),0)))</f>
        <v/>
      </c>
      <c r="H165" s="22" t="str">
        <f t="shared" si="2"/>
        <v/>
      </c>
      <c r="I165" s="21" t="str">
        <f>IF($L165="","",IF($C165&gt;$M165,IF(Overview!$B$26=1,"uint8","uint8["&amp;Overview!$B$26&amp;"]"),IFERROR(INDEX(Fields!$E$5:$E$48,MATCH($D165,Fields!$A$5:$A$48,0)),"MISSING")))</f>
        <v/>
      </c>
      <c r="J165" s="21" t="str">
        <f>IF($L165="","",IF($C165&gt;$M165,"Fixed end-of-frame delimiter, value "&amp;Overview!$B$25&amp;".",IFERROR(INDEX(Fields!$G$5:$G$48,MATCH($D165,Fields!$A$5:$A$48,0)),"MISSING")))</f>
        <v/>
      </c>
      <c r="K165" s="21" t="str">
        <f>IF($L165="","",IF($C165&gt;$M165,"n/a",IFERROR(INDEX(Fields!$H$5:$H$48,MATCH($D165,Fields!$A$5:$A$48,0)),"MISSING")))</f>
        <v/>
      </c>
      <c r="L165" s="23" t="str">
        <f>IF(ROWS($L$5:L165)&gt;MAX('Packet Builder'!$O$5:$O$34),"",COUNTIF('Packet Builder'!$O$5:$O$34,"&lt;"&amp;ROWS($L$5:L165))+1)</f>
        <v/>
      </c>
      <c r="M165" s="23" t="str">
        <f>IF($L165="","",INDEX('Packet Builder'!$F$5:$F$34,$L165))</f>
        <v/>
      </c>
    </row>
    <row r="166" spans="1:13" x14ac:dyDescent="0.35">
      <c r="A166" s="21" t="str">
        <f>IF($L166="","",INDEX('Packet Builder'!$A$5:$A$34,$L166))</f>
        <v/>
      </c>
      <c r="B166" s="21" t="str">
        <f>IF($L166="","",INDEX('Packet Builder'!$B$5:$B$34,$L166))</f>
        <v/>
      </c>
      <c r="C166" s="22" t="str">
        <f>IF($L166="","",ROWS($L$5:L166)-(INDEX('Packet Builder'!$O$5:$O$34,$L166)-$M166-1))</f>
        <v/>
      </c>
      <c r="D166" s="22" t="str">
        <f>IF($L166="","",IF($C166&gt;$M166,"EOF",IFERROR(VALUE(TRIM(MID(SUBSTITUTE(INDEX('Packet Builder'!$P$5:$P$34,$L166),",",REPT(" ",LEN(INDEX('Packet Builder'!$P$5:$P$34,$L166)))),($C166-1)*LEN(INDEX('Packet Builder'!$P$5:$P$34,$L166))+1,LEN(INDEX('Packet Builder'!$P$5:$P$34,$L166))))),"ERR")))</f>
        <v/>
      </c>
      <c r="E166" s="21" t="str">
        <f>IF($L166="","",IF($C166&gt;$M166,"End of Frame Delimiter",IFERROR(INDEX(Fields!$B$5:$B$48,MATCH($D166,Fields!$A$5:$A$48,0)),"MISSING")))</f>
        <v/>
      </c>
      <c r="F166" s="22" t="str">
        <f>IF($L166="","",SUMIF($L$5:L166,L166,$G$5:G166)-G166)</f>
        <v/>
      </c>
      <c r="G166" s="22" t="str">
        <f>IF($L166="","",IF($C166&gt;$M166,Overview!$B$26,IFERROR(INDEX(Fields!$F$5:$F$48,MATCH($D166,Fields!$A$5:$A$48,0)),0)))</f>
        <v/>
      </c>
      <c r="H166" s="22" t="str">
        <f t="shared" si="2"/>
        <v/>
      </c>
      <c r="I166" s="21" t="str">
        <f>IF($L166="","",IF($C166&gt;$M166,IF(Overview!$B$26=1,"uint8","uint8["&amp;Overview!$B$26&amp;"]"),IFERROR(INDEX(Fields!$E$5:$E$48,MATCH($D166,Fields!$A$5:$A$48,0)),"MISSING")))</f>
        <v/>
      </c>
      <c r="J166" s="21" t="str">
        <f>IF($L166="","",IF($C166&gt;$M166,"Fixed end-of-frame delimiter, value "&amp;Overview!$B$25&amp;".",IFERROR(INDEX(Fields!$G$5:$G$48,MATCH($D166,Fields!$A$5:$A$48,0)),"MISSING")))</f>
        <v/>
      </c>
      <c r="K166" s="21" t="str">
        <f>IF($L166="","",IF($C166&gt;$M166,"n/a",IFERROR(INDEX(Fields!$H$5:$H$48,MATCH($D166,Fields!$A$5:$A$48,0)),"MISSING")))</f>
        <v/>
      </c>
      <c r="L166" s="23" t="str">
        <f>IF(ROWS($L$5:L166)&gt;MAX('Packet Builder'!$O$5:$O$34),"",COUNTIF('Packet Builder'!$O$5:$O$34,"&lt;"&amp;ROWS($L$5:L166))+1)</f>
        <v/>
      </c>
      <c r="M166" s="23" t="str">
        <f>IF($L166="","",INDEX('Packet Builder'!$F$5:$F$34,$L166))</f>
        <v/>
      </c>
    </row>
    <row r="167" spans="1:13" x14ac:dyDescent="0.35">
      <c r="A167" s="21" t="str">
        <f>IF($L167="","",INDEX('Packet Builder'!$A$5:$A$34,$L167))</f>
        <v/>
      </c>
      <c r="B167" s="21" t="str">
        <f>IF($L167="","",INDEX('Packet Builder'!$B$5:$B$34,$L167))</f>
        <v/>
      </c>
      <c r="C167" s="22" t="str">
        <f>IF($L167="","",ROWS($L$5:L167)-(INDEX('Packet Builder'!$O$5:$O$34,$L167)-$M167-1))</f>
        <v/>
      </c>
      <c r="D167" s="22" t="str">
        <f>IF($L167="","",IF($C167&gt;$M167,"EOF",IFERROR(VALUE(TRIM(MID(SUBSTITUTE(INDEX('Packet Builder'!$P$5:$P$34,$L167),",",REPT(" ",LEN(INDEX('Packet Builder'!$P$5:$P$34,$L167)))),($C167-1)*LEN(INDEX('Packet Builder'!$P$5:$P$34,$L167))+1,LEN(INDEX('Packet Builder'!$P$5:$P$34,$L167))))),"ERR")))</f>
        <v/>
      </c>
      <c r="E167" s="21" t="str">
        <f>IF($L167="","",IF($C167&gt;$M167,"End of Frame Delimiter",IFERROR(INDEX(Fields!$B$5:$B$48,MATCH($D167,Fields!$A$5:$A$48,0)),"MISSING")))</f>
        <v/>
      </c>
      <c r="F167" s="22" t="str">
        <f>IF($L167="","",SUMIF($L$5:L167,L167,$G$5:G167)-G167)</f>
        <v/>
      </c>
      <c r="G167" s="22" t="str">
        <f>IF($L167="","",IF($C167&gt;$M167,Overview!$B$26,IFERROR(INDEX(Fields!$F$5:$F$48,MATCH($D167,Fields!$A$5:$A$48,0)),0)))</f>
        <v/>
      </c>
      <c r="H167" s="22" t="str">
        <f t="shared" si="2"/>
        <v/>
      </c>
      <c r="I167" s="21" t="str">
        <f>IF($L167="","",IF($C167&gt;$M167,IF(Overview!$B$26=1,"uint8","uint8["&amp;Overview!$B$26&amp;"]"),IFERROR(INDEX(Fields!$E$5:$E$48,MATCH($D167,Fields!$A$5:$A$48,0)),"MISSING")))</f>
        <v/>
      </c>
      <c r="J167" s="21" t="str">
        <f>IF($L167="","",IF($C167&gt;$M167,"Fixed end-of-frame delimiter, value "&amp;Overview!$B$25&amp;".",IFERROR(INDEX(Fields!$G$5:$G$48,MATCH($D167,Fields!$A$5:$A$48,0)),"MISSING")))</f>
        <v/>
      </c>
      <c r="K167" s="21" t="str">
        <f>IF($L167="","",IF($C167&gt;$M167,"n/a",IFERROR(INDEX(Fields!$H$5:$H$48,MATCH($D167,Fields!$A$5:$A$48,0)),"MISSING")))</f>
        <v/>
      </c>
      <c r="L167" s="23" t="str">
        <f>IF(ROWS($L$5:L167)&gt;MAX('Packet Builder'!$O$5:$O$34),"",COUNTIF('Packet Builder'!$O$5:$O$34,"&lt;"&amp;ROWS($L$5:L167))+1)</f>
        <v/>
      </c>
      <c r="M167" s="23" t="str">
        <f>IF($L167="","",INDEX('Packet Builder'!$F$5:$F$34,$L167))</f>
        <v/>
      </c>
    </row>
    <row r="168" spans="1:13" x14ac:dyDescent="0.35">
      <c r="A168" s="21" t="str">
        <f>IF($L168="","",INDEX('Packet Builder'!$A$5:$A$34,$L168))</f>
        <v/>
      </c>
      <c r="B168" s="21" t="str">
        <f>IF($L168="","",INDEX('Packet Builder'!$B$5:$B$34,$L168))</f>
        <v/>
      </c>
      <c r="C168" s="22" t="str">
        <f>IF($L168="","",ROWS($L$5:L168)-(INDEX('Packet Builder'!$O$5:$O$34,$L168)-$M168-1))</f>
        <v/>
      </c>
      <c r="D168" s="22" t="str">
        <f>IF($L168="","",IF($C168&gt;$M168,"EOF",IFERROR(VALUE(TRIM(MID(SUBSTITUTE(INDEX('Packet Builder'!$P$5:$P$34,$L168),",",REPT(" ",LEN(INDEX('Packet Builder'!$P$5:$P$34,$L168)))),($C168-1)*LEN(INDEX('Packet Builder'!$P$5:$P$34,$L168))+1,LEN(INDEX('Packet Builder'!$P$5:$P$34,$L168))))),"ERR")))</f>
        <v/>
      </c>
      <c r="E168" s="21" t="str">
        <f>IF($L168="","",IF($C168&gt;$M168,"End of Frame Delimiter",IFERROR(INDEX(Fields!$B$5:$B$48,MATCH($D168,Fields!$A$5:$A$48,0)),"MISSING")))</f>
        <v/>
      </c>
      <c r="F168" s="22" t="str">
        <f>IF($L168="","",SUMIF($L$5:L168,L168,$G$5:G168)-G168)</f>
        <v/>
      </c>
      <c r="G168" s="22" t="str">
        <f>IF($L168="","",IF($C168&gt;$M168,Overview!$B$26,IFERROR(INDEX(Fields!$F$5:$F$48,MATCH($D168,Fields!$A$5:$A$48,0)),0)))</f>
        <v/>
      </c>
      <c r="H168" s="22" t="str">
        <f t="shared" si="2"/>
        <v/>
      </c>
      <c r="I168" s="21" t="str">
        <f>IF($L168="","",IF($C168&gt;$M168,IF(Overview!$B$26=1,"uint8","uint8["&amp;Overview!$B$26&amp;"]"),IFERROR(INDEX(Fields!$E$5:$E$48,MATCH($D168,Fields!$A$5:$A$48,0)),"MISSING")))</f>
        <v/>
      </c>
      <c r="J168" s="21" t="str">
        <f>IF($L168="","",IF($C168&gt;$M168,"Fixed end-of-frame delimiter, value "&amp;Overview!$B$25&amp;".",IFERROR(INDEX(Fields!$G$5:$G$48,MATCH($D168,Fields!$A$5:$A$48,0)),"MISSING")))</f>
        <v/>
      </c>
      <c r="K168" s="21" t="str">
        <f>IF($L168="","",IF($C168&gt;$M168,"n/a",IFERROR(INDEX(Fields!$H$5:$H$48,MATCH($D168,Fields!$A$5:$A$48,0)),"MISSING")))</f>
        <v/>
      </c>
      <c r="L168" s="23" t="str">
        <f>IF(ROWS($L$5:L168)&gt;MAX('Packet Builder'!$O$5:$O$34),"",COUNTIF('Packet Builder'!$O$5:$O$34,"&lt;"&amp;ROWS($L$5:L168))+1)</f>
        <v/>
      </c>
      <c r="M168" s="23" t="str">
        <f>IF($L168="","",INDEX('Packet Builder'!$F$5:$F$34,$L168))</f>
        <v/>
      </c>
    </row>
    <row r="169" spans="1:13" x14ac:dyDescent="0.35">
      <c r="A169" s="21" t="str">
        <f>IF($L169="","",INDEX('Packet Builder'!$A$5:$A$34,$L169))</f>
        <v/>
      </c>
      <c r="B169" s="21" t="str">
        <f>IF($L169="","",INDEX('Packet Builder'!$B$5:$B$34,$L169))</f>
        <v/>
      </c>
      <c r="C169" s="22" t="str">
        <f>IF($L169="","",ROWS($L$5:L169)-(INDEX('Packet Builder'!$O$5:$O$34,$L169)-$M169-1))</f>
        <v/>
      </c>
      <c r="D169" s="22" t="str">
        <f>IF($L169="","",IF($C169&gt;$M169,"EOF",IFERROR(VALUE(TRIM(MID(SUBSTITUTE(INDEX('Packet Builder'!$P$5:$P$34,$L169),",",REPT(" ",LEN(INDEX('Packet Builder'!$P$5:$P$34,$L169)))),($C169-1)*LEN(INDEX('Packet Builder'!$P$5:$P$34,$L169))+1,LEN(INDEX('Packet Builder'!$P$5:$P$34,$L169))))),"ERR")))</f>
        <v/>
      </c>
      <c r="E169" s="21" t="str">
        <f>IF($L169="","",IF($C169&gt;$M169,"End of Frame Delimiter",IFERROR(INDEX(Fields!$B$5:$B$48,MATCH($D169,Fields!$A$5:$A$48,0)),"MISSING")))</f>
        <v/>
      </c>
      <c r="F169" s="22" t="str">
        <f>IF($L169="","",SUMIF($L$5:L169,L169,$G$5:G169)-G169)</f>
        <v/>
      </c>
      <c r="G169" s="22" t="str">
        <f>IF($L169="","",IF($C169&gt;$M169,Overview!$B$26,IFERROR(INDEX(Fields!$F$5:$F$48,MATCH($D169,Fields!$A$5:$A$48,0)),0)))</f>
        <v/>
      </c>
      <c r="H169" s="22" t="str">
        <f t="shared" si="2"/>
        <v/>
      </c>
      <c r="I169" s="21" t="str">
        <f>IF($L169="","",IF($C169&gt;$M169,IF(Overview!$B$26=1,"uint8","uint8["&amp;Overview!$B$26&amp;"]"),IFERROR(INDEX(Fields!$E$5:$E$48,MATCH($D169,Fields!$A$5:$A$48,0)),"MISSING")))</f>
        <v/>
      </c>
      <c r="J169" s="21" t="str">
        <f>IF($L169="","",IF($C169&gt;$M169,"Fixed end-of-frame delimiter, value "&amp;Overview!$B$25&amp;".",IFERROR(INDEX(Fields!$G$5:$G$48,MATCH($D169,Fields!$A$5:$A$48,0)),"MISSING")))</f>
        <v/>
      </c>
      <c r="K169" s="21" t="str">
        <f>IF($L169="","",IF($C169&gt;$M169,"n/a",IFERROR(INDEX(Fields!$H$5:$H$48,MATCH($D169,Fields!$A$5:$A$48,0)),"MISSING")))</f>
        <v/>
      </c>
      <c r="L169" s="23" t="str">
        <f>IF(ROWS($L$5:L169)&gt;MAX('Packet Builder'!$O$5:$O$34),"",COUNTIF('Packet Builder'!$O$5:$O$34,"&lt;"&amp;ROWS($L$5:L169))+1)</f>
        <v/>
      </c>
      <c r="M169" s="23" t="str">
        <f>IF($L169="","",INDEX('Packet Builder'!$F$5:$F$34,$L169))</f>
        <v/>
      </c>
    </row>
    <row r="170" spans="1:13" x14ac:dyDescent="0.35">
      <c r="A170" s="21" t="str">
        <f>IF($L170="","",INDEX('Packet Builder'!$A$5:$A$34,$L170))</f>
        <v/>
      </c>
      <c r="B170" s="21" t="str">
        <f>IF($L170="","",INDEX('Packet Builder'!$B$5:$B$34,$L170))</f>
        <v/>
      </c>
      <c r="C170" s="22" t="str">
        <f>IF($L170="","",ROWS($L$5:L170)-(INDEX('Packet Builder'!$O$5:$O$34,$L170)-$M170-1))</f>
        <v/>
      </c>
      <c r="D170" s="22" t="str">
        <f>IF($L170="","",IF($C170&gt;$M170,"EOF",IFERROR(VALUE(TRIM(MID(SUBSTITUTE(INDEX('Packet Builder'!$P$5:$P$34,$L170),",",REPT(" ",LEN(INDEX('Packet Builder'!$P$5:$P$34,$L170)))),($C170-1)*LEN(INDEX('Packet Builder'!$P$5:$P$34,$L170))+1,LEN(INDEX('Packet Builder'!$P$5:$P$34,$L170))))),"ERR")))</f>
        <v/>
      </c>
      <c r="E170" s="21" t="str">
        <f>IF($L170="","",IF($C170&gt;$M170,"End of Frame Delimiter",IFERROR(INDEX(Fields!$B$5:$B$48,MATCH($D170,Fields!$A$5:$A$48,0)),"MISSING")))</f>
        <v/>
      </c>
      <c r="F170" s="22" t="str">
        <f>IF($L170="","",SUMIF($L$5:L170,L170,$G$5:G170)-G170)</f>
        <v/>
      </c>
      <c r="G170" s="22" t="str">
        <f>IF($L170="","",IF($C170&gt;$M170,Overview!$B$26,IFERROR(INDEX(Fields!$F$5:$F$48,MATCH($D170,Fields!$A$5:$A$48,0)),0)))</f>
        <v/>
      </c>
      <c r="H170" s="22" t="str">
        <f t="shared" si="2"/>
        <v/>
      </c>
      <c r="I170" s="21" t="str">
        <f>IF($L170="","",IF($C170&gt;$M170,IF(Overview!$B$26=1,"uint8","uint8["&amp;Overview!$B$26&amp;"]"),IFERROR(INDEX(Fields!$E$5:$E$48,MATCH($D170,Fields!$A$5:$A$48,0)),"MISSING")))</f>
        <v/>
      </c>
      <c r="J170" s="21" t="str">
        <f>IF($L170="","",IF($C170&gt;$M170,"Fixed end-of-frame delimiter, value "&amp;Overview!$B$25&amp;".",IFERROR(INDEX(Fields!$G$5:$G$48,MATCH($D170,Fields!$A$5:$A$48,0)),"MISSING")))</f>
        <v/>
      </c>
      <c r="K170" s="21" t="str">
        <f>IF($L170="","",IF($C170&gt;$M170,"n/a",IFERROR(INDEX(Fields!$H$5:$H$48,MATCH($D170,Fields!$A$5:$A$48,0)),"MISSING")))</f>
        <v/>
      </c>
      <c r="L170" s="23" t="str">
        <f>IF(ROWS($L$5:L170)&gt;MAX('Packet Builder'!$O$5:$O$34),"",COUNTIF('Packet Builder'!$O$5:$O$34,"&lt;"&amp;ROWS($L$5:L170))+1)</f>
        <v/>
      </c>
      <c r="M170" s="23" t="str">
        <f>IF($L170="","",INDEX('Packet Builder'!$F$5:$F$34,$L170))</f>
        <v/>
      </c>
    </row>
    <row r="171" spans="1:13" x14ac:dyDescent="0.35">
      <c r="A171" s="21" t="str">
        <f>IF($L171="","",INDEX('Packet Builder'!$A$5:$A$34,$L171))</f>
        <v/>
      </c>
      <c r="B171" s="21" t="str">
        <f>IF($L171="","",INDEX('Packet Builder'!$B$5:$B$34,$L171))</f>
        <v/>
      </c>
      <c r="C171" s="22" t="str">
        <f>IF($L171="","",ROWS($L$5:L171)-(INDEX('Packet Builder'!$O$5:$O$34,$L171)-$M171-1))</f>
        <v/>
      </c>
      <c r="D171" s="22" t="str">
        <f>IF($L171="","",IF($C171&gt;$M171,"EOF",IFERROR(VALUE(TRIM(MID(SUBSTITUTE(INDEX('Packet Builder'!$P$5:$P$34,$L171),",",REPT(" ",LEN(INDEX('Packet Builder'!$P$5:$P$34,$L171)))),($C171-1)*LEN(INDEX('Packet Builder'!$P$5:$P$34,$L171))+1,LEN(INDEX('Packet Builder'!$P$5:$P$34,$L171))))),"ERR")))</f>
        <v/>
      </c>
      <c r="E171" s="21" t="str">
        <f>IF($L171="","",IF($C171&gt;$M171,"End of Frame Delimiter",IFERROR(INDEX(Fields!$B$5:$B$48,MATCH($D171,Fields!$A$5:$A$48,0)),"MISSING")))</f>
        <v/>
      </c>
      <c r="F171" s="22" t="str">
        <f>IF($L171="","",SUMIF($L$5:L171,L171,$G$5:G171)-G171)</f>
        <v/>
      </c>
      <c r="G171" s="22" t="str">
        <f>IF($L171="","",IF($C171&gt;$M171,Overview!$B$26,IFERROR(INDEX(Fields!$F$5:$F$48,MATCH($D171,Fields!$A$5:$A$48,0)),0)))</f>
        <v/>
      </c>
      <c r="H171" s="22" t="str">
        <f t="shared" si="2"/>
        <v/>
      </c>
      <c r="I171" s="21" t="str">
        <f>IF($L171="","",IF($C171&gt;$M171,IF(Overview!$B$26=1,"uint8","uint8["&amp;Overview!$B$26&amp;"]"),IFERROR(INDEX(Fields!$E$5:$E$48,MATCH($D171,Fields!$A$5:$A$48,0)),"MISSING")))</f>
        <v/>
      </c>
      <c r="J171" s="21" t="str">
        <f>IF($L171="","",IF($C171&gt;$M171,"Fixed end-of-frame delimiter, value "&amp;Overview!$B$25&amp;".",IFERROR(INDEX(Fields!$G$5:$G$48,MATCH($D171,Fields!$A$5:$A$48,0)),"MISSING")))</f>
        <v/>
      </c>
      <c r="K171" s="21" t="str">
        <f>IF($L171="","",IF($C171&gt;$M171,"n/a",IFERROR(INDEX(Fields!$H$5:$H$48,MATCH($D171,Fields!$A$5:$A$48,0)),"MISSING")))</f>
        <v/>
      </c>
      <c r="L171" s="23" t="str">
        <f>IF(ROWS($L$5:L171)&gt;MAX('Packet Builder'!$O$5:$O$34),"",COUNTIF('Packet Builder'!$O$5:$O$34,"&lt;"&amp;ROWS($L$5:L171))+1)</f>
        <v/>
      </c>
      <c r="M171" s="23" t="str">
        <f>IF($L171="","",INDEX('Packet Builder'!$F$5:$F$34,$L171))</f>
        <v/>
      </c>
    </row>
    <row r="172" spans="1:13" x14ac:dyDescent="0.35">
      <c r="A172" s="21" t="str">
        <f>IF($L172="","",INDEX('Packet Builder'!$A$5:$A$34,$L172))</f>
        <v/>
      </c>
      <c r="B172" s="21" t="str">
        <f>IF($L172="","",INDEX('Packet Builder'!$B$5:$B$34,$L172))</f>
        <v/>
      </c>
      <c r="C172" s="22" t="str">
        <f>IF($L172="","",ROWS($L$5:L172)-(INDEX('Packet Builder'!$O$5:$O$34,$L172)-$M172-1))</f>
        <v/>
      </c>
      <c r="D172" s="22" t="str">
        <f>IF($L172="","",IF($C172&gt;$M172,"EOF",IFERROR(VALUE(TRIM(MID(SUBSTITUTE(INDEX('Packet Builder'!$P$5:$P$34,$L172),",",REPT(" ",LEN(INDEX('Packet Builder'!$P$5:$P$34,$L172)))),($C172-1)*LEN(INDEX('Packet Builder'!$P$5:$P$34,$L172))+1,LEN(INDEX('Packet Builder'!$P$5:$P$34,$L172))))),"ERR")))</f>
        <v/>
      </c>
      <c r="E172" s="21" t="str">
        <f>IF($L172="","",IF($C172&gt;$M172,"End of Frame Delimiter",IFERROR(INDEX(Fields!$B$5:$B$48,MATCH($D172,Fields!$A$5:$A$48,0)),"MISSING")))</f>
        <v/>
      </c>
      <c r="F172" s="22" t="str">
        <f>IF($L172="","",SUMIF($L$5:L172,L172,$G$5:G172)-G172)</f>
        <v/>
      </c>
      <c r="G172" s="22" t="str">
        <f>IF($L172="","",IF($C172&gt;$M172,Overview!$B$26,IFERROR(INDEX(Fields!$F$5:$F$48,MATCH($D172,Fields!$A$5:$A$48,0)),0)))</f>
        <v/>
      </c>
      <c r="H172" s="22" t="str">
        <f t="shared" si="2"/>
        <v/>
      </c>
      <c r="I172" s="21" t="str">
        <f>IF($L172="","",IF($C172&gt;$M172,IF(Overview!$B$26=1,"uint8","uint8["&amp;Overview!$B$26&amp;"]"),IFERROR(INDEX(Fields!$E$5:$E$48,MATCH($D172,Fields!$A$5:$A$48,0)),"MISSING")))</f>
        <v/>
      </c>
      <c r="J172" s="21" t="str">
        <f>IF($L172="","",IF($C172&gt;$M172,"Fixed end-of-frame delimiter, value "&amp;Overview!$B$25&amp;".",IFERROR(INDEX(Fields!$G$5:$G$48,MATCH($D172,Fields!$A$5:$A$48,0)),"MISSING")))</f>
        <v/>
      </c>
      <c r="K172" s="21" t="str">
        <f>IF($L172="","",IF($C172&gt;$M172,"n/a",IFERROR(INDEX(Fields!$H$5:$H$48,MATCH($D172,Fields!$A$5:$A$48,0)),"MISSING")))</f>
        <v/>
      </c>
      <c r="L172" s="23" t="str">
        <f>IF(ROWS($L$5:L172)&gt;MAX('Packet Builder'!$O$5:$O$34),"",COUNTIF('Packet Builder'!$O$5:$O$34,"&lt;"&amp;ROWS($L$5:L172))+1)</f>
        <v/>
      </c>
      <c r="M172" s="23" t="str">
        <f>IF($L172="","",INDEX('Packet Builder'!$F$5:$F$34,$L172))</f>
        <v/>
      </c>
    </row>
    <row r="173" spans="1:13" x14ac:dyDescent="0.35">
      <c r="A173" s="21" t="str">
        <f>IF($L173="","",INDEX('Packet Builder'!$A$5:$A$34,$L173))</f>
        <v/>
      </c>
      <c r="B173" s="21" t="str">
        <f>IF($L173="","",INDEX('Packet Builder'!$B$5:$B$34,$L173))</f>
        <v/>
      </c>
      <c r="C173" s="22" t="str">
        <f>IF($L173="","",ROWS($L$5:L173)-(INDEX('Packet Builder'!$O$5:$O$34,$L173)-$M173-1))</f>
        <v/>
      </c>
      <c r="D173" s="22" t="str">
        <f>IF($L173="","",IF($C173&gt;$M173,"EOF",IFERROR(VALUE(TRIM(MID(SUBSTITUTE(INDEX('Packet Builder'!$P$5:$P$34,$L173),",",REPT(" ",LEN(INDEX('Packet Builder'!$P$5:$P$34,$L173)))),($C173-1)*LEN(INDEX('Packet Builder'!$P$5:$P$34,$L173))+1,LEN(INDEX('Packet Builder'!$P$5:$P$34,$L173))))),"ERR")))</f>
        <v/>
      </c>
      <c r="E173" s="21" t="str">
        <f>IF($L173="","",IF($C173&gt;$M173,"End of Frame Delimiter",IFERROR(INDEX(Fields!$B$5:$B$48,MATCH($D173,Fields!$A$5:$A$48,0)),"MISSING")))</f>
        <v/>
      </c>
      <c r="F173" s="22" t="str">
        <f>IF($L173="","",SUMIF($L$5:L173,L173,$G$5:G173)-G173)</f>
        <v/>
      </c>
      <c r="G173" s="22" t="str">
        <f>IF($L173="","",IF($C173&gt;$M173,Overview!$B$26,IFERROR(INDEX(Fields!$F$5:$F$48,MATCH($D173,Fields!$A$5:$A$48,0)),0)))</f>
        <v/>
      </c>
      <c r="H173" s="22" t="str">
        <f t="shared" si="2"/>
        <v/>
      </c>
      <c r="I173" s="21" t="str">
        <f>IF($L173="","",IF($C173&gt;$M173,IF(Overview!$B$26=1,"uint8","uint8["&amp;Overview!$B$26&amp;"]"),IFERROR(INDEX(Fields!$E$5:$E$48,MATCH($D173,Fields!$A$5:$A$48,0)),"MISSING")))</f>
        <v/>
      </c>
      <c r="J173" s="21" t="str">
        <f>IF($L173="","",IF($C173&gt;$M173,"Fixed end-of-frame delimiter, value "&amp;Overview!$B$25&amp;".",IFERROR(INDEX(Fields!$G$5:$G$48,MATCH($D173,Fields!$A$5:$A$48,0)),"MISSING")))</f>
        <v/>
      </c>
      <c r="K173" s="21" t="str">
        <f>IF($L173="","",IF($C173&gt;$M173,"n/a",IFERROR(INDEX(Fields!$H$5:$H$48,MATCH($D173,Fields!$A$5:$A$48,0)),"MISSING")))</f>
        <v/>
      </c>
      <c r="L173" s="23" t="str">
        <f>IF(ROWS($L$5:L173)&gt;MAX('Packet Builder'!$O$5:$O$34),"",COUNTIF('Packet Builder'!$O$5:$O$34,"&lt;"&amp;ROWS($L$5:L173))+1)</f>
        <v/>
      </c>
      <c r="M173" s="23" t="str">
        <f>IF($L173="","",INDEX('Packet Builder'!$F$5:$F$34,$L173))</f>
        <v/>
      </c>
    </row>
    <row r="174" spans="1:13" x14ac:dyDescent="0.35">
      <c r="A174" s="21" t="str">
        <f>IF($L174="","",INDEX('Packet Builder'!$A$5:$A$34,$L174))</f>
        <v/>
      </c>
      <c r="B174" s="21" t="str">
        <f>IF($L174="","",INDEX('Packet Builder'!$B$5:$B$34,$L174))</f>
        <v/>
      </c>
      <c r="C174" s="22" t="str">
        <f>IF($L174="","",ROWS($L$5:L174)-(INDEX('Packet Builder'!$O$5:$O$34,$L174)-$M174-1))</f>
        <v/>
      </c>
      <c r="D174" s="22" t="str">
        <f>IF($L174="","",IF($C174&gt;$M174,"EOF",IFERROR(VALUE(TRIM(MID(SUBSTITUTE(INDEX('Packet Builder'!$P$5:$P$34,$L174),",",REPT(" ",LEN(INDEX('Packet Builder'!$P$5:$P$34,$L174)))),($C174-1)*LEN(INDEX('Packet Builder'!$P$5:$P$34,$L174))+1,LEN(INDEX('Packet Builder'!$P$5:$P$34,$L174))))),"ERR")))</f>
        <v/>
      </c>
      <c r="E174" s="21" t="str">
        <f>IF($L174="","",IF($C174&gt;$M174,"End of Frame Delimiter",IFERROR(INDEX(Fields!$B$5:$B$48,MATCH($D174,Fields!$A$5:$A$48,0)),"MISSING")))</f>
        <v/>
      </c>
      <c r="F174" s="22" t="str">
        <f>IF($L174="","",SUMIF($L$5:L174,L174,$G$5:G174)-G174)</f>
        <v/>
      </c>
      <c r="G174" s="22" t="str">
        <f>IF($L174="","",IF($C174&gt;$M174,Overview!$B$26,IFERROR(INDEX(Fields!$F$5:$F$48,MATCH($D174,Fields!$A$5:$A$48,0)),0)))</f>
        <v/>
      </c>
      <c r="H174" s="22" t="str">
        <f t="shared" si="2"/>
        <v/>
      </c>
      <c r="I174" s="21" t="str">
        <f>IF($L174="","",IF($C174&gt;$M174,IF(Overview!$B$26=1,"uint8","uint8["&amp;Overview!$B$26&amp;"]"),IFERROR(INDEX(Fields!$E$5:$E$48,MATCH($D174,Fields!$A$5:$A$48,0)),"MISSING")))</f>
        <v/>
      </c>
      <c r="J174" s="21" t="str">
        <f>IF($L174="","",IF($C174&gt;$M174,"Fixed end-of-frame delimiter, value "&amp;Overview!$B$25&amp;".",IFERROR(INDEX(Fields!$G$5:$G$48,MATCH($D174,Fields!$A$5:$A$48,0)),"MISSING")))</f>
        <v/>
      </c>
      <c r="K174" s="21" t="str">
        <f>IF($L174="","",IF($C174&gt;$M174,"n/a",IFERROR(INDEX(Fields!$H$5:$H$48,MATCH($D174,Fields!$A$5:$A$48,0)),"MISSING")))</f>
        <v/>
      </c>
      <c r="L174" s="23" t="str">
        <f>IF(ROWS($L$5:L174)&gt;MAX('Packet Builder'!$O$5:$O$34),"",COUNTIF('Packet Builder'!$O$5:$O$34,"&lt;"&amp;ROWS($L$5:L174))+1)</f>
        <v/>
      </c>
      <c r="M174" s="23" t="str">
        <f>IF($L174="","",INDEX('Packet Builder'!$F$5:$F$34,$L174))</f>
        <v/>
      </c>
    </row>
    <row r="175" spans="1:13" x14ac:dyDescent="0.35">
      <c r="A175" s="21" t="str">
        <f>IF($L175="","",INDEX('Packet Builder'!$A$5:$A$34,$L175))</f>
        <v/>
      </c>
      <c r="B175" s="21" t="str">
        <f>IF($L175="","",INDEX('Packet Builder'!$B$5:$B$34,$L175))</f>
        <v/>
      </c>
      <c r="C175" s="22" t="str">
        <f>IF($L175="","",ROWS($L$5:L175)-(INDEX('Packet Builder'!$O$5:$O$34,$L175)-$M175-1))</f>
        <v/>
      </c>
      <c r="D175" s="22" t="str">
        <f>IF($L175="","",IF($C175&gt;$M175,"EOF",IFERROR(VALUE(TRIM(MID(SUBSTITUTE(INDEX('Packet Builder'!$P$5:$P$34,$L175),",",REPT(" ",LEN(INDEX('Packet Builder'!$P$5:$P$34,$L175)))),($C175-1)*LEN(INDEX('Packet Builder'!$P$5:$P$34,$L175))+1,LEN(INDEX('Packet Builder'!$P$5:$P$34,$L175))))),"ERR")))</f>
        <v/>
      </c>
      <c r="E175" s="21" t="str">
        <f>IF($L175="","",IF($C175&gt;$M175,"End of Frame Delimiter",IFERROR(INDEX(Fields!$B$5:$B$48,MATCH($D175,Fields!$A$5:$A$48,0)),"MISSING")))</f>
        <v/>
      </c>
      <c r="F175" s="22" t="str">
        <f>IF($L175="","",SUMIF($L$5:L175,L175,$G$5:G175)-G175)</f>
        <v/>
      </c>
      <c r="G175" s="22" t="str">
        <f>IF($L175="","",IF($C175&gt;$M175,Overview!$B$26,IFERROR(INDEX(Fields!$F$5:$F$48,MATCH($D175,Fields!$A$5:$A$48,0)),0)))</f>
        <v/>
      </c>
      <c r="H175" s="22" t="str">
        <f t="shared" si="2"/>
        <v/>
      </c>
      <c r="I175" s="21" t="str">
        <f>IF($L175="","",IF($C175&gt;$M175,IF(Overview!$B$26=1,"uint8","uint8["&amp;Overview!$B$26&amp;"]"),IFERROR(INDEX(Fields!$E$5:$E$48,MATCH($D175,Fields!$A$5:$A$48,0)),"MISSING")))</f>
        <v/>
      </c>
      <c r="J175" s="21" t="str">
        <f>IF($L175="","",IF($C175&gt;$M175,"Fixed end-of-frame delimiter, value "&amp;Overview!$B$25&amp;".",IFERROR(INDEX(Fields!$G$5:$G$48,MATCH($D175,Fields!$A$5:$A$48,0)),"MISSING")))</f>
        <v/>
      </c>
      <c r="K175" s="21" t="str">
        <f>IF($L175="","",IF($C175&gt;$M175,"n/a",IFERROR(INDEX(Fields!$H$5:$H$48,MATCH($D175,Fields!$A$5:$A$48,0)),"MISSING")))</f>
        <v/>
      </c>
      <c r="L175" s="23" t="str">
        <f>IF(ROWS($L$5:L175)&gt;MAX('Packet Builder'!$O$5:$O$34),"",COUNTIF('Packet Builder'!$O$5:$O$34,"&lt;"&amp;ROWS($L$5:L175))+1)</f>
        <v/>
      </c>
      <c r="M175" s="23" t="str">
        <f>IF($L175="","",INDEX('Packet Builder'!$F$5:$F$34,$L175))</f>
        <v/>
      </c>
    </row>
    <row r="176" spans="1:13" x14ac:dyDescent="0.35">
      <c r="A176" s="21" t="str">
        <f>IF($L176="","",INDEX('Packet Builder'!$A$5:$A$34,$L176))</f>
        <v/>
      </c>
      <c r="B176" s="21" t="str">
        <f>IF($L176="","",INDEX('Packet Builder'!$B$5:$B$34,$L176))</f>
        <v/>
      </c>
      <c r="C176" s="22" t="str">
        <f>IF($L176="","",ROWS($L$5:L176)-(INDEX('Packet Builder'!$O$5:$O$34,$L176)-$M176-1))</f>
        <v/>
      </c>
      <c r="D176" s="22" t="str">
        <f>IF($L176="","",IF($C176&gt;$M176,"EOF",IFERROR(VALUE(TRIM(MID(SUBSTITUTE(INDEX('Packet Builder'!$P$5:$P$34,$L176),",",REPT(" ",LEN(INDEX('Packet Builder'!$P$5:$P$34,$L176)))),($C176-1)*LEN(INDEX('Packet Builder'!$P$5:$P$34,$L176))+1,LEN(INDEX('Packet Builder'!$P$5:$P$34,$L176))))),"ERR")))</f>
        <v/>
      </c>
      <c r="E176" s="21" t="str">
        <f>IF($L176="","",IF($C176&gt;$M176,"End of Frame Delimiter",IFERROR(INDEX(Fields!$B$5:$B$48,MATCH($D176,Fields!$A$5:$A$48,0)),"MISSING")))</f>
        <v/>
      </c>
      <c r="F176" s="22" t="str">
        <f>IF($L176="","",SUMIF($L$5:L176,L176,$G$5:G176)-G176)</f>
        <v/>
      </c>
      <c r="G176" s="22" t="str">
        <f>IF($L176="","",IF($C176&gt;$M176,Overview!$B$26,IFERROR(INDEX(Fields!$F$5:$F$48,MATCH($D176,Fields!$A$5:$A$48,0)),0)))</f>
        <v/>
      </c>
      <c r="H176" s="22" t="str">
        <f t="shared" si="2"/>
        <v/>
      </c>
      <c r="I176" s="21" t="str">
        <f>IF($L176="","",IF($C176&gt;$M176,IF(Overview!$B$26=1,"uint8","uint8["&amp;Overview!$B$26&amp;"]"),IFERROR(INDEX(Fields!$E$5:$E$48,MATCH($D176,Fields!$A$5:$A$48,0)),"MISSING")))</f>
        <v/>
      </c>
      <c r="J176" s="21" t="str">
        <f>IF($L176="","",IF($C176&gt;$M176,"Fixed end-of-frame delimiter, value "&amp;Overview!$B$25&amp;".",IFERROR(INDEX(Fields!$G$5:$G$48,MATCH($D176,Fields!$A$5:$A$48,0)),"MISSING")))</f>
        <v/>
      </c>
      <c r="K176" s="21" t="str">
        <f>IF($L176="","",IF($C176&gt;$M176,"n/a",IFERROR(INDEX(Fields!$H$5:$H$48,MATCH($D176,Fields!$A$5:$A$48,0)),"MISSING")))</f>
        <v/>
      </c>
      <c r="L176" s="23" t="str">
        <f>IF(ROWS($L$5:L176)&gt;MAX('Packet Builder'!$O$5:$O$34),"",COUNTIF('Packet Builder'!$O$5:$O$34,"&lt;"&amp;ROWS($L$5:L176))+1)</f>
        <v/>
      </c>
      <c r="M176" s="23" t="str">
        <f>IF($L176="","",INDEX('Packet Builder'!$F$5:$F$34,$L176))</f>
        <v/>
      </c>
    </row>
    <row r="177" spans="1:13" x14ac:dyDescent="0.35">
      <c r="A177" s="21" t="str">
        <f>IF($L177="","",INDEX('Packet Builder'!$A$5:$A$34,$L177))</f>
        <v/>
      </c>
      <c r="B177" s="21" t="str">
        <f>IF($L177="","",INDEX('Packet Builder'!$B$5:$B$34,$L177))</f>
        <v/>
      </c>
      <c r="C177" s="22" t="str">
        <f>IF($L177="","",ROWS($L$5:L177)-(INDEX('Packet Builder'!$O$5:$O$34,$L177)-$M177-1))</f>
        <v/>
      </c>
      <c r="D177" s="22" t="str">
        <f>IF($L177="","",IF($C177&gt;$M177,"EOF",IFERROR(VALUE(TRIM(MID(SUBSTITUTE(INDEX('Packet Builder'!$P$5:$P$34,$L177),",",REPT(" ",LEN(INDEX('Packet Builder'!$P$5:$P$34,$L177)))),($C177-1)*LEN(INDEX('Packet Builder'!$P$5:$P$34,$L177))+1,LEN(INDEX('Packet Builder'!$P$5:$P$34,$L177))))),"ERR")))</f>
        <v/>
      </c>
      <c r="E177" s="21" t="str">
        <f>IF($L177="","",IF($C177&gt;$M177,"End of Frame Delimiter",IFERROR(INDEX(Fields!$B$5:$B$48,MATCH($D177,Fields!$A$5:$A$48,0)),"MISSING")))</f>
        <v/>
      </c>
      <c r="F177" s="22" t="str">
        <f>IF($L177="","",SUMIF($L$5:L177,L177,$G$5:G177)-G177)</f>
        <v/>
      </c>
      <c r="G177" s="22" t="str">
        <f>IF($L177="","",IF($C177&gt;$M177,Overview!$B$26,IFERROR(INDEX(Fields!$F$5:$F$48,MATCH($D177,Fields!$A$5:$A$48,0)),0)))</f>
        <v/>
      </c>
      <c r="H177" s="22" t="str">
        <f t="shared" si="2"/>
        <v/>
      </c>
      <c r="I177" s="21" t="str">
        <f>IF($L177="","",IF($C177&gt;$M177,IF(Overview!$B$26=1,"uint8","uint8["&amp;Overview!$B$26&amp;"]"),IFERROR(INDEX(Fields!$E$5:$E$48,MATCH($D177,Fields!$A$5:$A$48,0)),"MISSING")))</f>
        <v/>
      </c>
      <c r="J177" s="21" t="str">
        <f>IF($L177="","",IF($C177&gt;$M177,"Fixed end-of-frame delimiter, value "&amp;Overview!$B$25&amp;".",IFERROR(INDEX(Fields!$G$5:$G$48,MATCH($D177,Fields!$A$5:$A$48,0)),"MISSING")))</f>
        <v/>
      </c>
      <c r="K177" s="21" t="str">
        <f>IF($L177="","",IF($C177&gt;$M177,"n/a",IFERROR(INDEX(Fields!$H$5:$H$48,MATCH($D177,Fields!$A$5:$A$48,0)),"MISSING")))</f>
        <v/>
      </c>
      <c r="L177" s="23" t="str">
        <f>IF(ROWS($L$5:L177)&gt;MAX('Packet Builder'!$O$5:$O$34),"",COUNTIF('Packet Builder'!$O$5:$O$34,"&lt;"&amp;ROWS($L$5:L177))+1)</f>
        <v/>
      </c>
      <c r="M177" s="23" t="str">
        <f>IF($L177="","",INDEX('Packet Builder'!$F$5:$F$34,$L177))</f>
        <v/>
      </c>
    </row>
    <row r="178" spans="1:13" x14ac:dyDescent="0.35">
      <c r="A178" s="21" t="str">
        <f>IF($L178="","",INDEX('Packet Builder'!$A$5:$A$34,$L178))</f>
        <v/>
      </c>
      <c r="B178" s="21" t="str">
        <f>IF($L178="","",INDEX('Packet Builder'!$B$5:$B$34,$L178))</f>
        <v/>
      </c>
      <c r="C178" s="22" t="str">
        <f>IF($L178="","",ROWS($L$5:L178)-(INDEX('Packet Builder'!$O$5:$O$34,$L178)-$M178-1))</f>
        <v/>
      </c>
      <c r="D178" s="22" t="str">
        <f>IF($L178="","",IF($C178&gt;$M178,"EOF",IFERROR(VALUE(TRIM(MID(SUBSTITUTE(INDEX('Packet Builder'!$P$5:$P$34,$L178),",",REPT(" ",LEN(INDEX('Packet Builder'!$P$5:$P$34,$L178)))),($C178-1)*LEN(INDEX('Packet Builder'!$P$5:$P$34,$L178))+1,LEN(INDEX('Packet Builder'!$P$5:$P$34,$L178))))),"ERR")))</f>
        <v/>
      </c>
      <c r="E178" s="21" t="str">
        <f>IF($L178="","",IF($C178&gt;$M178,"End of Frame Delimiter",IFERROR(INDEX(Fields!$B$5:$B$48,MATCH($D178,Fields!$A$5:$A$48,0)),"MISSING")))</f>
        <v/>
      </c>
      <c r="F178" s="22" t="str">
        <f>IF($L178="","",SUMIF($L$5:L178,L178,$G$5:G178)-G178)</f>
        <v/>
      </c>
      <c r="G178" s="22" t="str">
        <f>IF($L178="","",IF($C178&gt;$M178,Overview!$B$26,IFERROR(INDEX(Fields!$F$5:$F$48,MATCH($D178,Fields!$A$5:$A$48,0)),0)))</f>
        <v/>
      </c>
      <c r="H178" s="22" t="str">
        <f t="shared" si="2"/>
        <v/>
      </c>
      <c r="I178" s="21" t="str">
        <f>IF($L178="","",IF($C178&gt;$M178,IF(Overview!$B$26=1,"uint8","uint8["&amp;Overview!$B$26&amp;"]"),IFERROR(INDEX(Fields!$E$5:$E$48,MATCH($D178,Fields!$A$5:$A$48,0)),"MISSING")))</f>
        <v/>
      </c>
      <c r="J178" s="21" t="str">
        <f>IF($L178="","",IF($C178&gt;$M178,"Fixed end-of-frame delimiter, value "&amp;Overview!$B$25&amp;".",IFERROR(INDEX(Fields!$G$5:$G$48,MATCH($D178,Fields!$A$5:$A$48,0)),"MISSING")))</f>
        <v/>
      </c>
      <c r="K178" s="21" t="str">
        <f>IF($L178="","",IF($C178&gt;$M178,"n/a",IFERROR(INDEX(Fields!$H$5:$H$48,MATCH($D178,Fields!$A$5:$A$48,0)),"MISSING")))</f>
        <v/>
      </c>
      <c r="L178" s="23" t="str">
        <f>IF(ROWS($L$5:L178)&gt;MAX('Packet Builder'!$O$5:$O$34),"",COUNTIF('Packet Builder'!$O$5:$O$34,"&lt;"&amp;ROWS($L$5:L178))+1)</f>
        <v/>
      </c>
      <c r="M178" s="23" t="str">
        <f>IF($L178="","",INDEX('Packet Builder'!$F$5:$F$34,$L178))</f>
        <v/>
      </c>
    </row>
    <row r="179" spans="1:13" x14ac:dyDescent="0.35">
      <c r="A179" s="21" t="str">
        <f>IF($L179="","",INDEX('Packet Builder'!$A$5:$A$34,$L179))</f>
        <v/>
      </c>
      <c r="B179" s="21" t="str">
        <f>IF($L179="","",INDEX('Packet Builder'!$B$5:$B$34,$L179))</f>
        <v/>
      </c>
      <c r="C179" s="22" t="str">
        <f>IF($L179="","",ROWS($L$5:L179)-(INDEX('Packet Builder'!$O$5:$O$34,$L179)-$M179-1))</f>
        <v/>
      </c>
      <c r="D179" s="22" t="str">
        <f>IF($L179="","",IF($C179&gt;$M179,"EOF",IFERROR(VALUE(TRIM(MID(SUBSTITUTE(INDEX('Packet Builder'!$P$5:$P$34,$L179),",",REPT(" ",LEN(INDEX('Packet Builder'!$P$5:$P$34,$L179)))),($C179-1)*LEN(INDEX('Packet Builder'!$P$5:$P$34,$L179))+1,LEN(INDEX('Packet Builder'!$P$5:$P$34,$L179))))),"ERR")))</f>
        <v/>
      </c>
      <c r="E179" s="21" t="str">
        <f>IF($L179="","",IF($C179&gt;$M179,"End of Frame Delimiter",IFERROR(INDEX(Fields!$B$5:$B$48,MATCH($D179,Fields!$A$5:$A$48,0)),"MISSING")))</f>
        <v/>
      </c>
      <c r="F179" s="22" t="str">
        <f>IF($L179="","",SUMIF($L$5:L179,L179,$G$5:G179)-G179)</f>
        <v/>
      </c>
      <c r="G179" s="22" t="str">
        <f>IF($L179="","",IF($C179&gt;$M179,Overview!$B$26,IFERROR(INDEX(Fields!$F$5:$F$48,MATCH($D179,Fields!$A$5:$A$48,0)),0)))</f>
        <v/>
      </c>
      <c r="H179" s="22" t="str">
        <f t="shared" si="2"/>
        <v/>
      </c>
      <c r="I179" s="21" t="str">
        <f>IF($L179="","",IF($C179&gt;$M179,IF(Overview!$B$26=1,"uint8","uint8["&amp;Overview!$B$26&amp;"]"),IFERROR(INDEX(Fields!$E$5:$E$48,MATCH($D179,Fields!$A$5:$A$48,0)),"MISSING")))</f>
        <v/>
      </c>
      <c r="J179" s="21" t="str">
        <f>IF($L179="","",IF($C179&gt;$M179,"Fixed end-of-frame delimiter, value "&amp;Overview!$B$25&amp;".",IFERROR(INDEX(Fields!$G$5:$G$48,MATCH($D179,Fields!$A$5:$A$48,0)),"MISSING")))</f>
        <v/>
      </c>
      <c r="K179" s="21" t="str">
        <f>IF($L179="","",IF($C179&gt;$M179,"n/a",IFERROR(INDEX(Fields!$H$5:$H$48,MATCH($D179,Fields!$A$5:$A$48,0)),"MISSING")))</f>
        <v/>
      </c>
      <c r="L179" s="23" t="str">
        <f>IF(ROWS($L$5:L179)&gt;MAX('Packet Builder'!$O$5:$O$34),"",COUNTIF('Packet Builder'!$O$5:$O$34,"&lt;"&amp;ROWS($L$5:L179))+1)</f>
        <v/>
      </c>
      <c r="M179" s="23" t="str">
        <f>IF($L179="","",INDEX('Packet Builder'!$F$5:$F$34,$L179))</f>
        <v/>
      </c>
    </row>
    <row r="180" spans="1:13" x14ac:dyDescent="0.35">
      <c r="A180" s="21" t="str">
        <f>IF($L180="","",INDEX('Packet Builder'!$A$5:$A$34,$L180))</f>
        <v/>
      </c>
      <c r="B180" s="21" t="str">
        <f>IF($L180="","",INDEX('Packet Builder'!$B$5:$B$34,$L180))</f>
        <v/>
      </c>
      <c r="C180" s="22" t="str">
        <f>IF($L180="","",ROWS($L$5:L180)-(INDEX('Packet Builder'!$O$5:$O$34,$L180)-$M180-1))</f>
        <v/>
      </c>
      <c r="D180" s="22" t="str">
        <f>IF($L180="","",IF($C180&gt;$M180,"EOF",IFERROR(VALUE(TRIM(MID(SUBSTITUTE(INDEX('Packet Builder'!$P$5:$P$34,$L180),",",REPT(" ",LEN(INDEX('Packet Builder'!$P$5:$P$34,$L180)))),($C180-1)*LEN(INDEX('Packet Builder'!$P$5:$P$34,$L180))+1,LEN(INDEX('Packet Builder'!$P$5:$P$34,$L180))))),"ERR")))</f>
        <v/>
      </c>
      <c r="E180" s="21" t="str">
        <f>IF($L180="","",IF($C180&gt;$M180,"End of Frame Delimiter",IFERROR(INDEX(Fields!$B$5:$B$48,MATCH($D180,Fields!$A$5:$A$48,0)),"MISSING")))</f>
        <v/>
      </c>
      <c r="F180" s="22" t="str">
        <f>IF($L180="","",SUMIF($L$5:L180,L180,$G$5:G180)-G180)</f>
        <v/>
      </c>
      <c r="G180" s="22" t="str">
        <f>IF($L180="","",IF($C180&gt;$M180,Overview!$B$26,IFERROR(INDEX(Fields!$F$5:$F$48,MATCH($D180,Fields!$A$5:$A$48,0)),0)))</f>
        <v/>
      </c>
      <c r="H180" s="22" t="str">
        <f t="shared" si="2"/>
        <v/>
      </c>
      <c r="I180" s="21" t="str">
        <f>IF($L180="","",IF($C180&gt;$M180,IF(Overview!$B$26=1,"uint8","uint8["&amp;Overview!$B$26&amp;"]"),IFERROR(INDEX(Fields!$E$5:$E$48,MATCH($D180,Fields!$A$5:$A$48,0)),"MISSING")))</f>
        <v/>
      </c>
      <c r="J180" s="21" t="str">
        <f>IF($L180="","",IF($C180&gt;$M180,"Fixed end-of-frame delimiter, value "&amp;Overview!$B$25&amp;".",IFERROR(INDEX(Fields!$G$5:$G$48,MATCH($D180,Fields!$A$5:$A$48,0)),"MISSING")))</f>
        <v/>
      </c>
      <c r="K180" s="21" t="str">
        <f>IF($L180="","",IF($C180&gt;$M180,"n/a",IFERROR(INDEX(Fields!$H$5:$H$48,MATCH($D180,Fields!$A$5:$A$48,0)),"MISSING")))</f>
        <v/>
      </c>
      <c r="L180" s="23" t="str">
        <f>IF(ROWS($L$5:L180)&gt;MAX('Packet Builder'!$O$5:$O$34),"",COUNTIF('Packet Builder'!$O$5:$O$34,"&lt;"&amp;ROWS($L$5:L180))+1)</f>
        <v/>
      </c>
      <c r="M180" s="23" t="str">
        <f>IF($L180="","",INDEX('Packet Builder'!$F$5:$F$34,$L180))</f>
        <v/>
      </c>
    </row>
    <row r="181" spans="1:13" x14ac:dyDescent="0.35">
      <c r="A181" s="21" t="str">
        <f>IF($L181="","",INDEX('Packet Builder'!$A$5:$A$34,$L181))</f>
        <v/>
      </c>
      <c r="B181" s="21" t="str">
        <f>IF($L181="","",INDEX('Packet Builder'!$B$5:$B$34,$L181))</f>
        <v/>
      </c>
      <c r="C181" s="22" t="str">
        <f>IF($L181="","",ROWS($L$5:L181)-(INDEX('Packet Builder'!$O$5:$O$34,$L181)-$M181-1))</f>
        <v/>
      </c>
      <c r="D181" s="22" t="str">
        <f>IF($L181="","",IF($C181&gt;$M181,"EOF",IFERROR(VALUE(TRIM(MID(SUBSTITUTE(INDEX('Packet Builder'!$P$5:$P$34,$L181),",",REPT(" ",LEN(INDEX('Packet Builder'!$P$5:$P$34,$L181)))),($C181-1)*LEN(INDEX('Packet Builder'!$P$5:$P$34,$L181))+1,LEN(INDEX('Packet Builder'!$P$5:$P$34,$L181))))),"ERR")))</f>
        <v/>
      </c>
      <c r="E181" s="21" t="str">
        <f>IF($L181="","",IF($C181&gt;$M181,"End of Frame Delimiter",IFERROR(INDEX(Fields!$B$5:$B$48,MATCH($D181,Fields!$A$5:$A$48,0)),"MISSING")))</f>
        <v/>
      </c>
      <c r="F181" s="22" t="str">
        <f>IF($L181="","",SUMIF($L$5:L181,L181,$G$5:G181)-G181)</f>
        <v/>
      </c>
      <c r="G181" s="22" t="str">
        <f>IF($L181="","",IF($C181&gt;$M181,Overview!$B$26,IFERROR(INDEX(Fields!$F$5:$F$48,MATCH($D181,Fields!$A$5:$A$48,0)),0)))</f>
        <v/>
      </c>
      <c r="H181" s="22" t="str">
        <f t="shared" si="2"/>
        <v/>
      </c>
      <c r="I181" s="21" t="str">
        <f>IF($L181="","",IF($C181&gt;$M181,IF(Overview!$B$26=1,"uint8","uint8["&amp;Overview!$B$26&amp;"]"),IFERROR(INDEX(Fields!$E$5:$E$48,MATCH($D181,Fields!$A$5:$A$48,0)),"MISSING")))</f>
        <v/>
      </c>
      <c r="J181" s="21" t="str">
        <f>IF($L181="","",IF($C181&gt;$M181,"Fixed end-of-frame delimiter, value "&amp;Overview!$B$25&amp;".",IFERROR(INDEX(Fields!$G$5:$G$48,MATCH($D181,Fields!$A$5:$A$48,0)),"MISSING")))</f>
        <v/>
      </c>
      <c r="K181" s="21" t="str">
        <f>IF($L181="","",IF($C181&gt;$M181,"n/a",IFERROR(INDEX(Fields!$H$5:$H$48,MATCH($D181,Fields!$A$5:$A$48,0)),"MISSING")))</f>
        <v/>
      </c>
      <c r="L181" s="23" t="str">
        <f>IF(ROWS($L$5:L181)&gt;MAX('Packet Builder'!$O$5:$O$34),"",COUNTIF('Packet Builder'!$O$5:$O$34,"&lt;"&amp;ROWS($L$5:L181))+1)</f>
        <v/>
      </c>
      <c r="M181" s="23" t="str">
        <f>IF($L181="","",INDEX('Packet Builder'!$F$5:$F$34,$L181))</f>
        <v/>
      </c>
    </row>
    <row r="182" spans="1:13" x14ac:dyDescent="0.35">
      <c r="A182" s="21" t="str">
        <f>IF($L182="","",INDEX('Packet Builder'!$A$5:$A$34,$L182))</f>
        <v/>
      </c>
      <c r="B182" s="21" t="str">
        <f>IF($L182="","",INDEX('Packet Builder'!$B$5:$B$34,$L182))</f>
        <v/>
      </c>
      <c r="C182" s="22" t="str">
        <f>IF($L182="","",ROWS($L$5:L182)-(INDEX('Packet Builder'!$O$5:$O$34,$L182)-$M182-1))</f>
        <v/>
      </c>
      <c r="D182" s="22" t="str">
        <f>IF($L182="","",IF($C182&gt;$M182,"EOF",IFERROR(VALUE(TRIM(MID(SUBSTITUTE(INDEX('Packet Builder'!$P$5:$P$34,$L182),",",REPT(" ",LEN(INDEX('Packet Builder'!$P$5:$P$34,$L182)))),($C182-1)*LEN(INDEX('Packet Builder'!$P$5:$P$34,$L182))+1,LEN(INDEX('Packet Builder'!$P$5:$P$34,$L182))))),"ERR")))</f>
        <v/>
      </c>
      <c r="E182" s="21" t="str">
        <f>IF($L182="","",IF($C182&gt;$M182,"End of Frame Delimiter",IFERROR(INDEX(Fields!$B$5:$B$48,MATCH($D182,Fields!$A$5:$A$48,0)),"MISSING")))</f>
        <v/>
      </c>
      <c r="F182" s="22" t="str">
        <f>IF($L182="","",SUMIF($L$5:L182,L182,$G$5:G182)-G182)</f>
        <v/>
      </c>
      <c r="G182" s="22" t="str">
        <f>IF($L182="","",IF($C182&gt;$M182,Overview!$B$26,IFERROR(INDEX(Fields!$F$5:$F$48,MATCH($D182,Fields!$A$5:$A$48,0)),0)))</f>
        <v/>
      </c>
      <c r="H182" s="22" t="str">
        <f t="shared" si="2"/>
        <v/>
      </c>
      <c r="I182" s="21" t="str">
        <f>IF($L182="","",IF($C182&gt;$M182,IF(Overview!$B$26=1,"uint8","uint8["&amp;Overview!$B$26&amp;"]"),IFERROR(INDEX(Fields!$E$5:$E$48,MATCH($D182,Fields!$A$5:$A$48,0)),"MISSING")))</f>
        <v/>
      </c>
      <c r="J182" s="21" t="str">
        <f>IF($L182="","",IF($C182&gt;$M182,"Fixed end-of-frame delimiter, value "&amp;Overview!$B$25&amp;".",IFERROR(INDEX(Fields!$G$5:$G$48,MATCH($D182,Fields!$A$5:$A$48,0)),"MISSING")))</f>
        <v/>
      </c>
      <c r="K182" s="21" t="str">
        <f>IF($L182="","",IF($C182&gt;$M182,"n/a",IFERROR(INDEX(Fields!$H$5:$H$48,MATCH($D182,Fields!$A$5:$A$48,0)),"MISSING")))</f>
        <v/>
      </c>
      <c r="L182" s="23" t="str">
        <f>IF(ROWS($L$5:L182)&gt;MAX('Packet Builder'!$O$5:$O$34),"",COUNTIF('Packet Builder'!$O$5:$O$34,"&lt;"&amp;ROWS($L$5:L182))+1)</f>
        <v/>
      </c>
      <c r="M182" s="23" t="str">
        <f>IF($L182="","",INDEX('Packet Builder'!$F$5:$F$34,$L182))</f>
        <v/>
      </c>
    </row>
    <row r="183" spans="1:13" x14ac:dyDescent="0.35">
      <c r="A183" s="21" t="str">
        <f>IF($L183="","",INDEX('Packet Builder'!$A$5:$A$34,$L183))</f>
        <v/>
      </c>
      <c r="B183" s="21" t="str">
        <f>IF($L183="","",INDEX('Packet Builder'!$B$5:$B$34,$L183))</f>
        <v/>
      </c>
      <c r="C183" s="22" t="str">
        <f>IF($L183="","",ROWS($L$5:L183)-(INDEX('Packet Builder'!$O$5:$O$34,$L183)-$M183-1))</f>
        <v/>
      </c>
      <c r="D183" s="22" t="str">
        <f>IF($L183="","",IF($C183&gt;$M183,"EOF",IFERROR(VALUE(TRIM(MID(SUBSTITUTE(INDEX('Packet Builder'!$P$5:$P$34,$L183),",",REPT(" ",LEN(INDEX('Packet Builder'!$P$5:$P$34,$L183)))),($C183-1)*LEN(INDEX('Packet Builder'!$P$5:$P$34,$L183))+1,LEN(INDEX('Packet Builder'!$P$5:$P$34,$L183))))),"ERR")))</f>
        <v/>
      </c>
      <c r="E183" s="21" t="str">
        <f>IF($L183="","",IF($C183&gt;$M183,"End of Frame Delimiter",IFERROR(INDEX(Fields!$B$5:$B$48,MATCH($D183,Fields!$A$5:$A$48,0)),"MISSING")))</f>
        <v/>
      </c>
      <c r="F183" s="22" t="str">
        <f>IF($L183="","",SUMIF($L$5:L183,L183,$G$5:G183)-G183)</f>
        <v/>
      </c>
      <c r="G183" s="22" t="str">
        <f>IF($L183="","",IF($C183&gt;$M183,Overview!$B$26,IFERROR(INDEX(Fields!$F$5:$F$48,MATCH($D183,Fields!$A$5:$A$48,0)),0)))</f>
        <v/>
      </c>
      <c r="H183" s="22" t="str">
        <f t="shared" si="2"/>
        <v/>
      </c>
      <c r="I183" s="21" t="str">
        <f>IF($L183="","",IF($C183&gt;$M183,IF(Overview!$B$26=1,"uint8","uint8["&amp;Overview!$B$26&amp;"]"),IFERROR(INDEX(Fields!$E$5:$E$48,MATCH($D183,Fields!$A$5:$A$48,0)),"MISSING")))</f>
        <v/>
      </c>
      <c r="J183" s="21" t="str">
        <f>IF($L183="","",IF($C183&gt;$M183,"Fixed end-of-frame delimiter, value "&amp;Overview!$B$25&amp;".",IFERROR(INDEX(Fields!$G$5:$G$48,MATCH($D183,Fields!$A$5:$A$48,0)),"MISSING")))</f>
        <v/>
      </c>
      <c r="K183" s="21" t="str">
        <f>IF($L183="","",IF($C183&gt;$M183,"n/a",IFERROR(INDEX(Fields!$H$5:$H$48,MATCH($D183,Fields!$A$5:$A$48,0)),"MISSING")))</f>
        <v/>
      </c>
      <c r="L183" s="23" t="str">
        <f>IF(ROWS($L$5:L183)&gt;MAX('Packet Builder'!$O$5:$O$34),"",COUNTIF('Packet Builder'!$O$5:$O$34,"&lt;"&amp;ROWS($L$5:L183))+1)</f>
        <v/>
      </c>
      <c r="M183" s="23" t="str">
        <f>IF($L183="","",INDEX('Packet Builder'!$F$5:$F$34,$L183))</f>
        <v/>
      </c>
    </row>
    <row r="184" spans="1:13" x14ac:dyDescent="0.35">
      <c r="A184" s="21" t="str">
        <f>IF($L184="","",INDEX('Packet Builder'!$A$5:$A$34,$L184))</f>
        <v/>
      </c>
      <c r="B184" s="21" t="str">
        <f>IF($L184="","",INDEX('Packet Builder'!$B$5:$B$34,$L184))</f>
        <v/>
      </c>
      <c r="C184" s="22" t="str">
        <f>IF($L184="","",ROWS($L$5:L184)-(INDEX('Packet Builder'!$O$5:$O$34,$L184)-$M184-1))</f>
        <v/>
      </c>
      <c r="D184" s="22" t="str">
        <f>IF($L184="","",IF($C184&gt;$M184,"EOF",IFERROR(VALUE(TRIM(MID(SUBSTITUTE(INDEX('Packet Builder'!$P$5:$P$34,$L184),",",REPT(" ",LEN(INDEX('Packet Builder'!$P$5:$P$34,$L184)))),($C184-1)*LEN(INDEX('Packet Builder'!$P$5:$P$34,$L184))+1,LEN(INDEX('Packet Builder'!$P$5:$P$34,$L184))))),"ERR")))</f>
        <v/>
      </c>
      <c r="E184" s="21" t="str">
        <f>IF($L184="","",IF($C184&gt;$M184,"End of Frame Delimiter",IFERROR(INDEX(Fields!$B$5:$B$48,MATCH($D184,Fields!$A$5:$A$48,0)),"MISSING")))</f>
        <v/>
      </c>
      <c r="F184" s="22" t="str">
        <f>IF($L184="","",SUMIF($L$5:L184,L184,$G$5:G184)-G184)</f>
        <v/>
      </c>
      <c r="G184" s="22" t="str">
        <f>IF($L184="","",IF($C184&gt;$M184,Overview!$B$26,IFERROR(INDEX(Fields!$F$5:$F$48,MATCH($D184,Fields!$A$5:$A$48,0)),0)))</f>
        <v/>
      </c>
      <c r="H184" s="22" t="str">
        <f t="shared" si="2"/>
        <v/>
      </c>
      <c r="I184" s="21" t="str">
        <f>IF($L184="","",IF($C184&gt;$M184,IF(Overview!$B$26=1,"uint8","uint8["&amp;Overview!$B$26&amp;"]"),IFERROR(INDEX(Fields!$E$5:$E$48,MATCH($D184,Fields!$A$5:$A$48,0)),"MISSING")))</f>
        <v/>
      </c>
      <c r="J184" s="21" t="str">
        <f>IF($L184="","",IF($C184&gt;$M184,"Fixed end-of-frame delimiter, value "&amp;Overview!$B$25&amp;".",IFERROR(INDEX(Fields!$G$5:$G$48,MATCH($D184,Fields!$A$5:$A$48,0)),"MISSING")))</f>
        <v/>
      </c>
      <c r="K184" s="21" t="str">
        <f>IF($L184="","",IF($C184&gt;$M184,"n/a",IFERROR(INDEX(Fields!$H$5:$H$48,MATCH($D184,Fields!$A$5:$A$48,0)),"MISSING")))</f>
        <v/>
      </c>
      <c r="L184" s="23" t="str">
        <f>IF(ROWS($L$5:L184)&gt;MAX('Packet Builder'!$O$5:$O$34),"",COUNTIF('Packet Builder'!$O$5:$O$34,"&lt;"&amp;ROWS($L$5:L184))+1)</f>
        <v/>
      </c>
      <c r="M184" s="23" t="str">
        <f>IF($L184="","",INDEX('Packet Builder'!$F$5:$F$34,$L184))</f>
        <v/>
      </c>
    </row>
    <row r="185" spans="1:13" x14ac:dyDescent="0.35">
      <c r="A185" s="21" t="str">
        <f>IF($L185="","",INDEX('Packet Builder'!$A$5:$A$34,$L185))</f>
        <v/>
      </c>
      <c r="B185" s="21" t="str">
        <f>IF($L185="","",INDEX('Packet Builder'!$B$5:$B$34,$L185))</f>
        <v/>
      </c>
      <c r="C185" s="22" t="str">
        <f>IF($L185="","",ROWS($L$5:L185)-(INDEX('Packet Builder'!$O$5:$O$34,$L185)-$M185-1))</f>
        <v/>
      </c>
      <c r="D185" s="22" t="str">
        <f>IF($L185="","",IF($C185&gt;$M185,"EOF",IFERROR(VALUE(TRIM(MID(SUBSTITUTE(INDEX('Packet Builder'!$P$5:$P$34,$L185),",",REPT(" ",LEN(INDEX('Packet Builder'!$P$5:$P$34,$L185)))),($C185-1)*LEN(INDEX('Packet Builder'!$P$5:$P$34,$L185))+1,LEN(INDEX('Packet Builder'!$P$5:$P$34,$L185))))),"ERR")))</f>
        <v/>
      </c>
      <c r="E185" s="21" t="str">
        <f>IF($L185="","",IF($C185&gt;$M185,"End of Frame Delimiter",IFERROR(INDEX(Fields!$B$5:$B$48,MATCH($D185,Fields!$A$5:$A$48,0)),"MISSING")))</f>
        <v/>
      </c>
      <c r="F185" s="22" t="str">
        <f>IF($L185="","",SUMIF($L$5:L185,L185,$G$5:G185)-G185)</f>
        <v/>
      </c>
      <c r="G185" s="22" t="str">
        <f>IF($L185="","",IF($C185&gt;$M185,Overview!$B$26,IFERROR(INDEX(Fields!$F$5:$F$48,MATCH($D185,Fields!$A$5:$A$48,0)),0)))</f>
        <v/>
      </c>
      <c r="H185" s="22" t="str">
        <f t="shared" si="2"/>
        <v/>
      </c>
      <c r="I185" s="21" t="str">
        <f>IF($L185="","",IF($C185&gt;$M185,IF(Overview!$B$26=1,"uint8","uint8["&amp;Overview!$B$26&amp;"]"),IFERROR(INDEX(Fields!$E$5:$E$48,MATCH($D185,Fields!$A$5:$A$48,0)),"MISSING")))</f>
        <v/>
      </c>
      <c r="J185" s="21" t="str">
        <f>IF($L185="","",IF($C185&gt;$M185,"Fixed end-of-frame delimiter, value "&amp;Overview!$B$25&amp;".",IFERROR(INDEX(Fields!$G$5:$G$48,MATCH($D185,Fields!$A$5:$A$48,0)),"MISSING")))</f>
        <v/>
      </c>
      <c r="K185" s="21" t="str">
        <f>IF($L185="","",IF($C185&gt;$M185,"n/a",IFERROR(INDEX(Fields!$H$5:$H$48,MATCH($D185,Fields!$A$5:$A$48,0)),"MISSING")))</f>
        <v/>
      </c>
      <c r="L185" s="23" t="str">
        <f>IF(ROWS($L$5:L185)&gt;MAX('Packet Builder'!$O$5:$O$34),"",COUNTIF('Packet Builder'!$O$5:$O$34,"&lt;"&amp;ROWS($L$5:L185))+1)</f>
        <v/>
      </c>
      <c r="M185" s="23" t="str">
        <f>IF($L185="","",INDEX('Packet Builder'!$F$5:$F$34,$L185))</f>
        <v/>
      </c>
    </row>
    <row r="186" spans="1:13" x14ac:dyDescent="0.35">
      <c r="A186" s="21" t="str">
        <f>IF($L186="","",INDEX('Packet Builder'!$A$5:$A$34,$L186))</f>
        <v/>
      </c>
      <c r="B186" s="21" t="str">
        <f>IF($L186="","",INDEX('Packet Builder'!$B$5:$B$34,$L186))</f>
        <v/>
      </c>
      <c r="C186" s="22" t="str">
        <f>IF($L186="","",ROWS($L$5:L186)-(INDEX('Packet Builder'!$O$5:$O$34,$L186)-$M186-1))</f>
        <v/>
      </c>
      <c r="D186" s="22" t="str">
        <f>IF($L186="","",IF($C186&gt;$M186,"EOF",IFERROR(VALUE(TRIM(MID(SUBSTITUTE(INDEX('Packet Builder'!$P$5:$P$34,$L186),",",REPT(" ",LEN(INDEX('Packet Builder'!$P$5:$P$34,$L186)))),($C186-1)*LEN(INDEX('Packet Builder'!$P$5:$P$34,$L186))+1,LEN(INDEX('Packet Builder'!$P$5:$P$34,$L186))))),"ERR")))</f>
        <v/>
      </c>
      <c r="E186" s="21" t="str">
        <f>IF($L186="","",IF($C186&gt;$M186,"End of Frame Delimiter",IFERROR(INDEX(Fields!$B$5:$B$48,MATCH($D186,Fields!$A$5:$A$48,0)),"MISSING")))</f>
        <v/>
      </c>
      <c r="F186" s="22" t="str">
        <f>IF($L186="","",SUMIF($L$5:L186,L186,$G$5:G186)-G186)</f>
        <v/>
      </c>
      <c r="G186" s="22" t="str">
        <f>IF($L186="","",IF($C186&gt;$M186,Overview!$B$26,IFERROR(INDEX(Fields!$F$5:$F$48,MATCH($D186,Fields!$A$5:$A$48,0)),0)))</f>
        <v/>
      </c>
      <c r="H186" s="22" t="str">
        <f t="shared" si="2"/>
        <v/>
      </c>
      <c r="I186" s="21" t="str">
        <f>IF($L186="","",IF($C186&gt;$M186,IF(Overview!$B$26=1,"uint8","uint8["&amp;Overview!$B$26&amp;"]"),IFERROR(INDEX(Fields!$E$5:$E$48,MATCH($D186,Fields!$A$5:$A$48,0)),"MISSING")))</f>
        <v/>
      </c>
      <c r="J186" s="21" t="str">
        <f>IF($L186="","",IF($C186&gt;$M186,"Fixed end-of-frame delimiter, value "&amp;Overview!$B$25&amp;".",IFERROR(INDEX(Fields!$G$5:$G$48,MATCH($D186,Fields!$A$5:$A$48,0)),"MISSING")))</f>
        <v/>
      </c>
      <c r="K186" s="21" t="str">
        <f>IF($L186="","",IF($C186&gt;$M186,"n/a",IFERROR(INDEX(Fields!$H$5:$H$48,MATCH($D186,Fields!$A$5:$A$48,0)),"MISSING")))</f>
        <v/>
      </c>
      <c r="L186" s="23" t="str">
        <f>IF(ROWS($L$5:L186)&gt;MAX('Packet Builder'!$O$5:$O$34),"",COUNTIF('Packet Builder'!$O$5:$O$34,"&lt;"&amp;ROWS($L$5:L186))+1)</f>
        <v/>
      </c>
      <c r="M186" s="23" t="str">
        <f>IF($L186="","",INDEX('Packet Builder'!$F$5:$F$34,$L186))</f>
        <v/>
      </c>
    </row>
    <row r="187" spans="1:13" x14ac:dyDescent="0.35">
      <c r="A187" s="21" t="str">
        <f>IF($L187="","",INDEX('Packet Builder'!$A$5:$A$34,$L187))</f>
        <v/>
      </c>
      <c r="B187" s="21" t="str">
        <f>IF($L187="","",INDEX('Packet Builder'!$B$5:$B$34,$L187))</f>
        <v/>
      </c>
      <c r="C187" s="22" t="str">
        <f>IF($L187="","",ROWS($L$5:L187)-(INDEX('Packet Builder'!$O$5:$O$34,$L187)-$M187-1))</f>
        <v/>
      </c>
      <c r="D187" s="22" t="str">
        <f>IF($L187="","",IF($C187&gt;$M187,"EOF",IFERROR(VALUE(TRIM(MID(SUBSTITUTE(INDEX('Packet Builder'!$P$5:$P$34,$L187),",",REPT(" ",LEN(INDEX('Packet Builder'!$P$5:$P$34,$L187)))),($C187-1)*LEN(INDEX('Packet Builder'!$P$5:$P$34,$L187))+1,LEN(INDEX('Packet Builder'!$P$5:$P$34,$L187))))),"ERR")))</f>
        <v/>
      </c>
      <c r="E187" s="21" t="str">
        <f>IF($L187="","",IF($C187&gt;$M187,"End of Frame Delimiter",IFERROR(INDEX(Fields!$B$5:$B$48,MATCH($D187,Fields!$A$5:$A$48,0)),"MISSING")))</f>
        <v/>
      </c>
      <c r="F187" s="22" t="str">
        <f>IF($L187="","",SUMIF($L$5:L187,L187,$G$5:G187)-G187)</f>
        <v/>
      </c>
      <c r="G187" s="22" t="str">
        <f>IF($L187="","",IF($C187&gt;$M187,Overview!$B$26,IFERROR(INDEX(Fields!$F$5:$F$48,MATCH($D187,Fields!$A$5:$A$48,0)),0)))</f>
        <v/>
      </c>
      <c r="H187" s="22" t="str">
        <f t="shared" si="2"/>
        <v/>
      </c>
      <c r="I187" s="21" t="str">
        <f>IF($L187="","",IF($C187&gt;$M187,IF(Overview!$B$26=1,"uint8","uint8["&amp;Overview!$B$26&amp;"]"),IFERROR(INDEX(Fields!$E$5:$E$48,MATCH($D187,Fields!$A$5:$A$48,0)),"MISSING")))</f>
        <v/>
      </c>
      <c r="J187" s="21" t="str">
        <f>IF($L187="","",IF($C187&gt;$M187,"Fixed end-of-frame delimiter, value "&amp;Overview!$B$25&amp;".",IFERROR(INDEX(Fields!$G$5:$G$48,MATCH($D187,Fields!$A$5:$A$48,0)),"MISSING")))</f>
        <v/>
      </c>
      <c r="K187" s="21" t="str">
        <f>IF($L187="","",IF($C187&gt;$M187,"n/a",IFERROR(INDEX(Fields!$H$5:$H$48,MATCH($D187,Fields!$A$5:$A$48,0)),"MISSING")))</f>
        <v/>
      </c>
      <c r="L187" s="23" t="str">
        <f>IF(ROWS($L$5:L187)&gt;MAX('Packet Builder'!$O$5:$O$34),"",COUNTIF('Packet Builder'!$O$5:$O$34,"&lt;"&amp;ROWS($L$5:L187))+1)</f>
        <v/>
      </c>
      <c r="M187" s="23" t="str">
        <f>IF($L187="","",INDEX('Packet Builder'!$F$5:$F$34,$L187))</f>
        <v/>
      </c>
    </row>
    <row r="188" spans="1:13" x14ac:dyDescent="0.35">
      <c r="A188" s="21" t="str">
        <f>IF($L188="","",INDEX('Packet Builder'!$A$5:$A$34,$L188))</f>
        <v/>
      </c>
      <c r="B188" s="21" t="str">
        <f>IF($L188="","",INDEX('Packet Builder'!$B$5:$B$34,$L188))</f>
        <v/>
      </c>
      <c r="C188" s="22" t="str">
        <f>IF($L188="","",ROWS($L$5:L188)-(INDEX('Packet Builder'!$O$5:$O$34,$L188)-$M188-1))</f>
        <v/>
      </c>
      <c r="D188" s="22" t="str">
        <f>IF($L188="","",IF($C188&gt;$M188,"EOF",IFERROR(VALUE(TRIM(MID(SUBSTITUTE(INDEX('Packet Builder'!$P$5:$P$34,$L188),",",REPT(" ",LEN(INDEX('Packet Builder'!$P$5:$P$34,$L188)))),($C188-1)*LEN(INDEX('Packet Builder'!$P$5:$P$34,$L188))+1,LEN(INDEX('Packet Builder'!$P$5:$P$34,$L188))))),"ERR")))</f>
        <v/>
      </c>
      <c r="E188" s="21" t="str">
        <f>IF($L188="","",IF($C188&gt;$M188,"End of Frame Delimiter",IFERROR(INDEX(Fields!$B$5:$B$48,MATCH($D188,Fields!$A$5:$A$48,0)),"MISSING")))</f>
        <v/>
      </c>
      <c r="F188" s="22" t="str">
        <f>IF($L188="","",SUMIF($L$5:L188,L188,$G$5:G188)-G188)</f>
        <v/>
      </c>
      <c r="G188" s="22" t="str">
        <f>IF($L188="","",IF($C188&gt;$M188,Overview!$B$26,IFERROR(INDEX(Fields!$F$5:$F$48,MATCH($D188,Fields!$A$5:$A$48,0)),0)))</f>
        <v/>
      </c>
      <c r="H188" s="22" t="str">
        <f t="shared" si="2"/>
        <v/>
      </c>
      <c r="I188" s="21" t="str">
        <f>IF($L188="","",IF($C188&gt;$M188,IF(Overview!$B$26=1,"uint8","uint8["&amp;Overview!$B$26&amp;"]"),IFERROR(INDEX(Fields!$E$5:$E$48,MATCH($D188,Fields!$A$5:$A$48,0)),"MISSING")))</f>
        <v/>
      </c>
      <c r="J188" s="21" t="str">
        <f>IF($L188="","",IF($C188&gt;$M188,"Fixed end-of-frame delimiter, value "&amp;Overview!$B$25&amp;".",IFERROR(INDEX(Fields!$G$5:$G$48,MATCH($D188,Fields!$A$5:$A$48,0)),"MISSING")))</f>
        <v/>
      </c>
      <c r="K188" s="21" t="str">
        <f>IF($L188="","",IF($C188&gt;$M188,"n/a",IFERROR(INDEX(Fields!$H$5:$H$48,MATCH($D188,Fields!$A$5:$A$48,0)),"MISSING")))</f>
        <v/>
      </c>
      <c r="L188" s="23" t="str">
        <f>IF(ROWS($L$5:L188)&gt;MAX('Packet Builder'!$O$5:$O$34),"",COUNTIF('Packet Builder'!$O$5:$O$34,"&lt;"&amp;ROWS($L$5:L188))+1)</f>
        <v/>
      </c>
      <c r="M188" s="23" t="str">
        <f>IF($L188="","",INDEX('Packet Builder'!$F$5:$F$34,$L188))</f>
        <v/>
      </c>
    </row>
    <row r="189" spans="1:13" x14ac:dyDescent="0.35">
      <c r="A189" s="21" t="str">
        <f>IF($L189="","",INDEX('Packet Builder'!$A$5:$A$34,$L189))</f>
        <v/>
      </c>
      <c r="B189" s="21" t="str">
        <f>IF($L189="","",INDEX('Packet Builder'!$B$5:$B$34,$L189))</f>
        <v/>
      </c>
      <c r="C189" s="22" t="str">
        <f>IF($L189="","",ROWS($L$5:L189)-(INDEX('Packet Builder'!$O$5:$O$34,$L189)-$M189-1))</f>
        <v/>
      </c>
      <c r="D189" s="22" t="str">
        <f>IF($L189="","",IF($C189&gt;$M189,"EOF",IFERROR(VALUE(TRIM(MID(SUBSTITUTE(INDEX('Packet Builder'!$P$5:$P$34,$L189),",",REPT(" ",LEN(INDEX('Packet Builder'!$P$5:$P$34,$L189)))),($C189-1)*LEN(INDEX('Packet Builder'!$P$5:$P$34,$L189))+1,LEN(INDEX('Packet Builder'!$P$5:$P$34,$L189))))),"ERR")))</f>
        <v/>
      </c>
      <c r="E189" s="21" t="str">
        <f>IF($L189="","",IF($C189&gt;$M189,"End of Frame Delimiter",IFERROR(INDEX(Fields!$B$5:$B$48,MATCH($D189,Fields!$A$5:$A$48,0)),"MISSING")))</f>
        <v/>
      </c>
      <c r="F189" s="22" t="str">
        <f>IF($L189="","",SUMIF($L$5:L189,L189,$G$5:G189)-G189)</f>
        <v/>
      </c>
      <c r="G189" s="22" t="str">
        <f>IF($L189="","",IF($C189&gt;$M189,Overview!$B$26,IFERROR(INDEX(Fields!$F$5:$F$48,MATCH($D189,Fields!$A$5:$A$48,0)),0)))</f>
        <v/>
      </c>
      <c r="H189" s="22" t="str">
        <f t="shared" si="2"/>
        <v/>
      </c>
      <c r="I189" s="21" t="str">
        <f>IF($L189="","",IF($C189&gt;$M189,IF(Overview!$B$26=1,"uint8","uint8["&amp;Overview!$B$26&amp;"]"),IFERROR(INDEX(Fields!$E$5:$E$48,MATCH($D189,Fields!$A$5:$A$48,0)),"MISSING")))</f>
        <v/>
      </c>
      <c r="J189" s="21" t="str">
        <f>IF($L189="","",IF($C189&gt;$M189,"Fixed end-of-frame delimiter, value "&amp;Overview!$B$25&amp;".",IFERROR(INDEX(Fields!$G$5:$G$48,MATCH($D189,Fields!$A$5:$A$48,0)),"MISSING")))</f>
        <v/>
      </c>
      <c r="K189" s="21" t="str">
        <f>IF($L189="","",IF($C189&gt;$M189,"n/a",IFERROR(INDEX(Fields!$H$5:$H$48,MATCH($D189,Fields!$A$5:$A$48,0)),"MISSING")))</f>
        <v/>
      </c>
      <c r="L189" s="23" t="str">
        <f>IF(ROWS($L$5:L189)&gt;MAX('Packet Builder'!$O$5:$O$34),"",COUNTIF('Packet Builder'!$O$5:$O$34,"&lt;"&amp;ROWS($L$5:L189))+1)</f>
        <v/>
      </c>
      <c r="M189" s="23" t="str">
        <f>IF($L189="","",INDEX('Packet Builder'!$F$5:$F$34,$L189))</f>
        <v/>
      </c>
    </row>
    <row r="190" spans="1:13" x14ac:dyDescent="0.35">
      <c r="A190" s="21" t="str">
        <f>IF($L190="","",INDEX('Packet Builder'!$A$5:$A$34,$L190))</f>
        <v/>
      </c>
      <c r="B190" s="21" t="str">
        <f>IF($L190="","",INDEX('Packet Builder'!$B$5:$B$34,$L190))</f>
        <v/>
      </c>
      <c r="C190" s="22" t="str">
        <f>IF($L190="","",ROWS($L$5:L190)-(INDEX('Packet Builder'!$O$5:$O$34,$L190)-$M190-1))</f>
        <v/>
      </c>
      <c r="D190" s="22" t="str">
        <f>IF($L190="","",IF($C190&gt;$M190,"EOF",IFERROR(VALUE(TRIM(MID(SUBSTITUTE(INDEX('Packet Builder'!$P$5:$P$34,$L190),",",REPT(" ",LEN(INDEX('Packet Builder'!$P$5:$P$34,$L190)))),($C190-1)*LEN(INDEX('Packet Builder'!$P$5:$P$34,$L190))+1,LEN(INDEX('Packet Builder'!$P$5:$P$34,$L190))))),"ERR")))</f>
        <v/>
      </c>
      <c r="E190" s="21" t="str">
        <f>IF($L190="","",IF($C190&gt;$M190,"End of Frame Delimiter",IFERROR(INDEX(Fields!$B$5:$B$48,MATCH($D190,Fields!$A$5:$A$48,0)),"MISSING")))</f>
        <v/>
      </c>
      <c r="F190" s="22" t="str">
        <f>IF($L190="","",SUMIF($L$5:L190,L190,$G$5:G190)-G190)</f>
        <v/>
      </c>
      <c r="G190" s="22" t="str">
        <f>IF($L190="","",IF($C190&gt;$M190,Overview!$B$26,IFERROR(INDEX(Fields!$F$5:$F$48,MATCH($D190,Fields!$A$5:$A$48,0)),0)))</f>
        <v/>
      </c>
      <c r="H190" s="22" t="str">
        <f t="shared" si="2"/>
        <v/>
      </c>
      <c r="I190" s="21" t="str">
        <f>IF($L190="","",IF($C190&gt;$M190,IF(Overview!$B$26=1,"uint8","uint8["&amp;Overview!$B$26&amp;"]"),IFERROR(INDEX(Fields!$E$5:$E$48,MATCH($D190,Fields!$A$5:$A$48,0)),"MISSING")))</f>
        <v/>
      </c>
      <c r="J190" s="21" t="str">
        <f>IF($L190="","",IF($C190&gt;$M190,"Fixed end-of-frame delimiter, value "&amp;Overview!$B$25&amp;".",IFERROR(INDEX(Fields!$G$5:$G$48,MATCH($D190,Fields!$A$5:$A$48,0)),"MISSING")))</f>
        <v/>
      </c>
      <c r="K190" s="21" t="str">
        <f>IF($L190="","",IF($C190&gt;$M190,"n/a",IFERROR(INDEX(Fields!$H$5:$H$48,MATCH($D190,Fields!$A$5:$A$48,0)),"MISSING")))</f>
        <v/>
      </c>
      <c r="L190" s="23" t="str">
        <f>IF(ROWS($L$5:L190)&gt;MAX('Packet Builder'!$O$5:$O$34),"",COUNTIF('Packet Builder'!$O$5:$O$34,"&lt;"&amp;ROWS($L$5:L190))+1)</f>
        <v/>
      </c>
      <c r="M190" s="23" t="str">
        <f>IF($L190="","",INDEX('Packet Builder'!$F$5:$F$34,$L190))</f>
        <v/>
      </c>
    </row>
    <row r="191" spans="1:13" x14ac:dyDescent="0.35">
      <c r="A191" s="21" t="str">
        <f>IF($L191="","",INDEX('Packet Builder'!$A$5:$A$34,$L191))</f>
        <v/>
      </c>
      <c r="B191" s="21" t="str">
        <f>IF($L191="","",INDEX('Packet Builder'!$B$5:$B$34,$L191))</f>
        <v/>
      </c>
      <c r="C191" s="22" t="str">
        <f>IF($L191="","",ROWS($L$5:L191)-(INDEX('Packet Builder'!$O$5:$O$34,$L191)-$M191-1))</f>
        <v/>
      </c>
      <c r="D191" s="22" t="str">
        <f>IF($L191="","",IF($C191&gt;$M191,"EOF",IFERROR(VALUE(TRIM(MID(SUBSTITUTE(INDEX('Packet Builder'!$P$5:$P$34,$L191),",",REPT(" ",LEN(INDEX('Packet Builder'!$P$5:$P$34,$L191)))),($C191-1)*LEN(INDEX('Packet Builder'!$P$5:$P$34,$L191))+1,LEN(INDEX('Packet Builder'!$P$5:$P$34,$L191))))),"ERR")))</f>
        <v/>
      </c>
      <c r="E191" s="21" t="str">
        <f>IF($L191="","",IF($C191&gt;$M191,"End of Frame Delimiter",IFERROR(INDEX(Fields!$B$5:$B$48,MATCH($D191,Fields!$A$5:$A$48,0)),"MISSING")))</f>
        <v/>
      </c>
      <c r="F191" s="22" t="str">
        <f>IF($L191="","",SUMIF($L$5:L191,L191,$G$5:G191)-G191)</f>
        <v/>
      </c>
      <c r="G191" s="22" t="str">
        <f>IF($L191="","",IF($C191&gt;$M191,Overview!$B$26,IFERROR(INDEX(Fields!$F$5:$F$48,MATCH($D191,Fields!$A$5:$A$48,0)),0)))</f>
        <v/>
      </c>
      <c r="H191" s="22" t="str">
        <f t="shared" si="2"/>
        <v/>
      </c>
      <c r="I191" s="21" t="str">
        <f>IF($L191="","",IF($C191&gt;$M191,IF(Overview!$B$26=1,"uint8","uint8["&amp;Overview!$B$26&amp;"]"),IFERROR(INDEX(Fields!$E$5:$E$48,MATCH($D191,Fields!$A$5:$A$48,0)),"MISSING")))</f>
        <v/>
      </c>
      <c r="J191" s="21" t="str">
        <f>IF($L191="","",IF($C191&gt;$M191,"Fixed end-of-frame delimiter, value "&amp;Overview!$B$25&amp;".",IFERROR(INDEX(Fields!$G$5:$G$48,MATCH($D191,Fields!$A$5:$A$48,0)),"MISSING")))</f>
        <v/>
      </c>
      <c r="K191" s="21" t="str">
        <f>IF($L191="","",IF($C191&gt;$M191,"n/a",IFERROR(INDEX(Fields!$H$5:$H$48,MATCH($D191,Fields!$A$5:$A$48,0)),"MISSING")))</f>
        <v/>
      </c>
      <c r="L191" s="23" t="str">
        <f>IF(ROWS($L$5:L191)&gt;MAX('Packet Builder'!$O$5:$O$34),"",COUNTIF('Packet Builder'!$O$5:$O$34,"&lt;"&amp;ROWS($L$5:L191))+1)</f>
        <v/>
      </c>
      <c r="M191" s="23" t="str">
        <f>IF($L191="","",INDEX('Packet Builder'!$F$5:$F$34,$L191))</f>
        <v/>
      </c>
    </row>
    <row r="192" spans="1:13" x14ac:dyDescent="0.35">
      <c r="A192" s="21" t="str">
        <f>IF($L192="","",INDEX('Packet Builder'!$A$5:$A$34,$L192))</f>
        <v/>
      </c>
      <c r="B192" s="21" t="str">
        <f>IF($L192="","",INDEX('Packet Builder'!$B$5:$B$34,$L192))</f>
        <v/>
      </c>
      <c r="C192" s="22" t="str">
        <f>IF($L192="","",ROWS($L$5:L192)-(INDEX('Packet Builder'!$O$5:$O$34,$L192)-$M192-1))</f>
        <v/>
      </c>
      <c r="D192" s="22" t="str">
        <f>IF($L192="","",IF($C192&gt;$M192,"EOF",IFERROR(VALUE(TRIM(MID(SUBSTITUTE(INDEX('Packet Builder'!$P$5:$P$34,$L192),",",REPT(" ",LEN(INDEX('Packet Builder'!$P$5:$P$34,$L192)))),($C192-1)*LEN(INDEX('Packet Builder'!$P$5:$P$34,$L192))+1,LEN(INDEX('Packet Builder'!$P$5:$P$34,$L192))))),"ERR")))</f>
        <v/>
      </c>
      <c r="E192" s="21" t="str">
        <f>IF($L192="","",IF($C192&gt;$M192,"End of Frame Delimiter",IFERROR(INDEX(Fields!$B$5:$B$48,MATCH($D192,Fields!$A$5:$A$48,0)),"MISSING")))</f>
        <v/>
      </c>
      <c r="F192" s="22" t="str">
        <f>IF($L192="","",SUMIF($L$5:L192,L192,$G$5:G192)-G192)</f>
        <v/>
      </c>
      <c r="G192" s="22" t="str">
        <f>IF($L192="","",IF($C192&gt;$M192,Overview!$B$26,IFERROR(INDEX(Fields!$F$5:$F$48,MATCH($D192,Fields!$A$5:$A$48,0)),0)))</f>
        <v/>
      </c>
      <c r="H192" s="22" t="str">
        <f t="shared" si="2"/>
        <v/>
      </c>
      <c r="I192" s="21" t="str">
        <f>IF($L192="","",IF($C192&gt;$M192,IF(Overview!$B$26=1,"uint8","uint8["&amp;Overview!$B$26&amp;"]"),IFERROR(INDEX(Fields!$E$5:$E$48,MATCH($D192,Fields!$A$5:$A$48,0)),"MISSING")))</f>
        <v/>
      </c>
      <c r="J192" s="21" t="str">
        <f>IF($L192="","",IF($C192&gt;$M192,"Fixed end-of-frame delimiter, value "&amp;Overview!$B$25&amp;".",IFERROR(INDEX(Fields!$G$5:$G$48,MATCH($D192,Fields!$A$5:$A$48,0)),"MISSING")))</f>
        <v/>
      </c>
      <c r="K192" s="21" t="str">
        <f>IF($L192="","",IF($C192&gt;$M192,"n/a",IFERROR(INDEX(Fields!$H$5:$H$48,MATCH($D192,Fields!$A$5:$A$48,0)),"MISSING")))</f>
        <v/>
      </c>
      <c r="L192" s="23" t="str">
        <f>IF(ROWS($L$5:L192)&gt;MAX('Packet Builder'!$O$5:$O$34),"",COUNTIF('Packet Builder'!$O$5:$O$34,"&lt;"&amp;ROWS($L$5:L192))+1)</f>
        <v/>
      </c>
      <c r="M192" s="23" t="str">
        <f>IF($L192="","",INDEX('Packet Builder'!$F$5:$F$34,$L192))</f>
        <v/>
      </c>
    </row>
    <row r="193" spans="1:13" x14ac:dyDescent="0.35">
      <c r="A193" s="21" t="str">
        <f>IF($L193="","",INDEX('Packet Builder'!$A$5:$A$34,$L193))</f>
        <v/>
      </c>
      <c r="B193" s="21" t="str">
        <f>IF($L193="","",INDEX('Packet Builder'!$B$5:$B$34,$L193))</f>
        <v/>
      </c>
      <c r="C193" s="22" t="str">
        <f>IF($L193="","",ROWS($L$5:L193)-(INDEX('Packet Builder'!$O$5:$O$34,$L193)-$M193-1))</f>
        <v/>
      </c>
      <c r="D193" s="22" t="str">
        <f>IF($L193="","",IF($C193&gt;$M193,"EOF",IFERROR(VALUE(TRIM(MID(SUBSTITUTE(INDEX('Packet Builder'!$P$5:$P$34,$L193),",",REPT(" ",LEN(INDEX('Packet Builder'!$P$5:$P$34,$L193)))),($C193-1)*LEN(INDEX('Packet Builder'!$P$5:$P$34,$L193))+1,LEN(INDEX('Packet Builder'!$P$5:$P$34,$L193))))),"ERR")))</f>
        <v/>
      </c>
      <c r="E193" s="21" t="str">
        <f>IF($L193="","",IF($C193&gt;$M193,"End of Frame Delimiter",IFERROR(INDEX(Fields!$B$5:$B$48,MATCH($D193,Fields!$A$5:$A$48,0)),"MISSING")))</f>
        <v/>
      </c>
      <c r="F193" s="22" t="str">
        <f>IF($L193="","",SUMIF($L$5:L193,L193,$G$5:G193)-G193)</f>
        <v/>
      </c>
      <c r="G193" s="22" t="str">
        <f>IF($L193="","",IF($C193&gt;$M193,Overview!$B$26,IFERROR(INDEX(Fields!$F$5:$F$48,MATCH($D193,Fields!$A$5:$A$48,0)),0)))</f>
        <v/>
      </c>
      <c r="H193" s="22" t="str">
        <f t="shared" si="2"/>
        <v/>
      </c>
      <c r="I193" s="21" t="str">
        <f>IF($L193="","",IF($C193&gt;$M193,IF(Overview!$B$26=1,"uint8","uint8["&amp;Overview!$B$26&amp;"]"),IFERROR(INDEX(Fields!$E$5:$E$48,MATCH($D193,Fields!$A$5:$A$48,0)),"MISSING")))</f>
        <v/>
      </c>
      <c r="J193" s="21" t="str">
        <f>IF($L193="","",IF($C193&gt;$M193,"Fixed end-of-frame delimiter, value "&amp;Overview!$B$25&amp;".",IFERROR(INDEX(Fields!$G$5:$G$48,MATCH($D193,Fields!$A$5:$A$48,0)),"MISSING")))</f>
        <v/>
      </c>
      <c r="K193" s="21" t="str">
        <f>IF($L193="","",IF($C193&gt;$M193,"n/a",IFERROR(INDEX(Fields!$H$5:$H$48,MATCH($D193,Fields!$A$5:$A$48,0)),"MISSING")))</f>
        <v/>
      </c>
      <c r="L193" s="23" t="str">
        <f>IF(ROWS($L$5:L193)&gt;MAX('Packet Builder'!$O$5:$O$34),"",COUNTIF('Packet Builder'!$O$5:$O$34,"&lt;"&amp;ROWS($L$5:L193))+1)</f>
        <v/>
      </c>
      <c r="M193" s="23" t="str">
        <f>IF($L193="","",INDEX('Packet Builder'!$F$5:$F$34,$L193))</f>
        <v/>
      </c>
    </row>
    <row r="194" spans="1:13" x14ac:dyDescent="0.35">
      <c r="A194" s="21" t="str">
        <f>IF($L194="","",INDEX('Packet Builder'!$A$5:$A$34,$L194))</f>
        <v/>
      </c>
      <c r="B194" s="21" t="str">
        <f>IF($L194="","",INDEX('Packet Builder'!$B$5:$B$34,$L194))</f>
        <v/>
      </c>
      <c r="C194" s="22" t="str">
        <f>IF($L194="","",ROWS($L$5:L194)-(INDEX('Packet Builder'!$O$5:$O$34,$L194)-$M194-1))</f>
        <v/>
      </c>
      <c r="D194" s="22" t="str">
        <f>IF($L194="","",IF($C194&gt;$M194,"EOF",IFERROR(VALUE(TRIM(MID(SUBSTITUTE(INDEX('Packet Builder'!$P$5:$P$34,$L194),",",REPT(" ",LEN(INDEX('Packet Builder'!$P$5:$P$34,$L194)))),($C194-1)*LEN(INDEX('Packet Builder'!$P$5:$P$34,$L194))+1,LEN(INDEX('Packet Builder'!$P$5:$P$34,$L194))))),"ERR")))</f>
        <v/>
      </c>
      <c r="E194" s="21" t="str">
        <f>IF($L194="","",IF($C194&gt;$M194,"End of Frame Delimiter",IFERROR(INDEX(Fields!$B$5:$B$48,MATCH($D194,Fields!$A$5:$A$48,0)),"MISSING")))</f>
        <v/>
      </c>
      <c r="F194" s="22" t="str">
        <f>IF($L194="","",SUMIF($L$5:L194,L194,$G$5:G194)-G194)</f>
        <v/>
      </c>
      <c r="G194" s="22" t="str">
        <f>IF($L194="","",IF($C194&gt;$M194,Overview!$B$26,IFERROR(INDEX(Fields!$F$5:$F$48,MATCH($D194,Fields!$A$5:$A$48,0)),0)))</f>
        <v/>
      </c>
      <c r="H194" s="22" t="str">
        <f t="shared" si="2"/>
        <v/>
      </c>
      <c r="I194" s="21" t="str">
        <f>IF($L194="","",IF($C194&gt;$M194,IF(Overview!$B$26=1,"uint8","uint8["&amp;Overview!$B$26&amp;"]"),IFERROR(INDEX(Fields!$E$5:$E$48,MATCH($D194,Fields!$A$5:$A$48,0)),"MISSING")))</f>
        <v/>
      </c>
      <c r="J194" s="21" t="str">
        <f>IF($L194="","",IF($C194&gt;$M194,"Fixed end-of-frame delimiter, value "&amp;Overview!$B$25&amp;".",IFERROR(INDEX(Fields!$G$5:$G$48,MATCH($D194,Fields!$A$5:$A$48,0)),"MISSING")))</f>
        <v/>
      </c>
      <c r="K194" s="21" t="str">
        <f>IF($L194="","",IF($C194&gt;$M194,"n/a",IFERROR(INDEX(Fields!$H$5:$H$48,MATCH($D194,Fields!$A$5:$A$48,0)),"MISSING")))</f>
        <v/>
      </c>
      <c r="L194" s="23" t="str">
        <f>IF(ROWS($L$5:L194)&gt;MAX('Packet Builder'!$O$5:$O$34),"",COUNTIF('Packet Builder'!$O$5:$O$34,"&lt;"&amp;ROWS($L$5:L194))+1)</f>
        <v/>
      </c>
      <c r="M194" s="23" t="str">
        <f>IF($L194="","",INDEX('Packet Builder'!$F$5:$F$34,$L194))</f>
        <v/>
      </c>
    </row>
    <row r="195" spans="1:13" x14ac:dyDescent="0.35">
      <c r="A195" s="21" t="str">
        <f>IF($L195="","",INDEX('Packet Builder'!$A$5:$A$34,$L195))</f>
        <v/>
      </c>
      <c r="B195" s="21" t="str">
        <f>IF($L195="","",INDEX('Packet Builder'!$B$5:$B$34,$L195))</f>
        <v/>
      </c>
      <c r="C195" s="22" t="str">
        <f>IF($L195="","",ROWS($L$5:L195)-(INDEX('Packet Builder'!$O$5:$O$34,$L195)-$M195-1))</f>
        <v/>
      </c>
      <c r="D195" s="22" t="str">
        <f>IF($L195="","",IF($C195&gt;$M195,"EOF",IFERROR(VALUE(TRIM(MID(SUBSTITUTE(INDEX('Packet Builder'!$P$5:$P$34,$L195),",",REPT(" ",LEN(INDEX('Packet Builder'!$P$5:$P$34,$L195)))),($C195-1)*LEN(INDEX('Packet Builder'!$P$5:$P$34,$L195))+1,LEN(INDEX('Packet Builder'!$P$5:$P$34,$L195))))),"ERR")))</f>
        <v/>
      </c>
      <c r="E195" s="21" t="str">
        <f>IF($L195="","",IF($C195&gt;$M195,"End of Frame Delimiter",IFERROR(INDEX(Fields!$B$5:$B$48,MATCH($D195,Fields!$A$5:$A$48,0)),"MISSING")))</f>
        <v/>
      </c>
      <c r="F195" s="22" t="str">
        <f>IF($L195="","",SUMIF($L$5:L195,L195,$G$5:G195)-G195)</f>
        <v/>
      </c>
      <c r="G195" s="22" t="str">
        <f>IF($L195="","",IF($C195&gt;$M195,Overview!$B$26,IFERROR(INDEX(Fields!$F$5:$F$48,MATCH($D195,Fields!$A$5:$A$48,0)),0)))</f>
        <v/>
      </c>
      <c r="H195" s="22" t="str">
        <f t="shared" si="2"/>
        <v/>
      </c>
      <c r="I195" s="21" t="str">
        <f>IF($L195="","",IF($C195&gt;$M195,IF(Overview!$B$26=1,"uint8","uint8["&amp;Overview!$B$26&amp;"]"),IFERROR(INDEX(Fields!$E$5:$E$48,MATCH($D195,Fields!$A$5:$A$48,0)),"MISSING")))</f>
        <v/>
      </c>
      <c r="J195" s="21" t="str">
        <f>IF($L195="","",IF($C195&gt;$M195,"Fixed end-of-frame delimiter, value "&amp;Overview!$B$25&amp;".",IFERROR(INDEX(Fields!$G$5:$G$48,MATCH($D195,Fields!$A$5:$A$48,0)),"MISSING")))</f>
        <v/>
      </c>
      <c r="K195" s="21" t="str">
        <f>IF($L195="","",IF($C195&gt;$M195,"n/a",IFERROR(INDEX(Fields!$H$5:$H$48,MATCH($D195,Fields!$A$5:$A$48,0)),"MISSING")))</f>
        <v/>
      </c>
      <c r="L195" s="23" t="str">
        <f>IF(ROWS($L$5:L195)&gt;MAX('Packet Builder'!$O$5:$O$34),"",COUNTIF('Packet Builder'!$O$5:$O$34,"&lt;"&amp;ROWS($L$5:L195))+1)</f>
        <v/>
      </c>
      <c r="M195" s="23" t="str">
        <f>IF($L195="","",INDEX('Packet Builder'!$F$5:$F$34,$L195))</f>
        <v/>
      </c>
    </row>
    <row r="196" spans="1:13" x14ac:dyDescent="0.35">
      <c r="A196" s="21" t="str">
        <f>IF($L196="","",INDEX('Packet Builder'!$A$5:$A$34,$L196))</f>
        <v/>
      </c>
      <c r="B196" s="21" t="str">
        <f>IF($L196="","",INDEX('Packet Builder'!$B$5:$B$34,$L196))</f>
        <v/>
      </c>
      <c r="C196" s="22" t="str">
        <f>IF($L196="","",ROWS($L$5:L196)-(INDEX('Packet Builder'!$O$5:$O$34,$L196)-$M196-1))</f>
        <v/>
      </c>
      <c r="D196" s="22" t="str">
        <f>IF($L196="","",IF($C196&gt;$M196,"EOF",IFERROR(VALUE(TRIM(MID(SUBSTITUTE(INDEX('Packet Builder'!$P$5:$P$34,$L196),",",REPT(" ",LEN(INDEX('Packet Builder'!$P$5:$P$34,$L196)))),($C196-1)*LEN(INDEX('Packet Builder'!$P$5:$P$34,$L196))+1,LEN(INDEX('Packet Builder'!$P$5:$P$34,$L196))))),"ERR")))</f>
        <v/>
      </c>
      <c r="E196" s="21" t="str">
        <f>IF($L196="","",IF($C196&gt;$M196,"End of Frame Delimiter",IFERROR(INDEX(Fields!$B$5:$B$48,MATCH($D196,Fields!$A$5:$A$48,0)),"MISSING")))</f>
        <v/>
      </c>
      <c r="F196" s="22" t="str">
        <f>IF($L196="","",SUMIF($L$5:L196,L196,$G$5:G196)-G196)</f>
        <v/>
      </c>
      <c r="G196" s="22" t="str">
        <f>IF($L196="","",IF($C196&gt;$M196,Overview!$B$26,IFERROR(INDEX(Fields!$F$5:$F$48,MATCH($D196,Fields!$A$5:$A$48,0)),0)))</f>
        <v/>
      </c>
      <c r="H196" s="22" t="str">
        <f t="shared" si="2"/>
        <v/>
      </c>
      <c r="I196" s="21" t="str">
        <f>IF($L196="","",IF($C196&gt;$M196,IF(Overview!$B$26=1,"uint8","uint8["&amp;Overview!$B$26&amp;"]"),IFERROR(INDEX(Fields!$E$5:$E$48,MATCH($D196,Fields!$A$5:$A$48,0)),"MISSING")))</f>
        <v/>
      </c>
      <c r="J196" s="21" t="str">
        <f>IF($L196="","",IF($C196&gt;$M196,"Fixed end-of-frame delimiter, value "&amp;Overview!$B$25&amp;".",IFERROR(INDEX(Fields!$G$5:$G$48,MATCH($D196,Fields!$A$5:$A$48,0)),"MISSING")))</f>
        <v/>
      </c>
      <c r="K196" s="21" t="str">
        <f>IF($L196="","",IF($C196&gt;$M196,"n/a",IFERROR(INDEX(Fields!$H$5:$H$48,MATCH($D196,Fields!$A$5:$A$48,0)),"MISSING")))</f>
        <v/>
      </c>
      <c r="L196" s="23" t="str">
        <f>IF(ROWS($L$5:L196)&gt;MAX('Packet Builder'!$O$5:$O$34),"",COUNTIF('Packet Builder'!$O$5:$O$34,"&lt;"&amp;ROWS($L$5:L196))+1)</f>
        <v/>
      </c>
      <c r="M196" s="23" t="str">
        <f>IF($L196="","",INDEX('Packet Builder'!$F$5:$F$34,$L196))</f>
        <v/>
      </c>
    </row>
    <row r="197" spans="1:13" x14ac:dyDescent="0.35">
      <c r="A197" s="21" t="str">
        <f>IF($L197="","",INDEX('Packet Builder'!$A$5:$A$34,$L197))</f>
        <v/>
      </c>
      <c r="B197" s="21" t="str">
        <f>IF($L197="","",INDEX('Packet Builder'!$B$5:$B$34,$L197))</f>
        <v/>
      </c>
      <c r="C197" s="22" t="str">
        <f>IF($L197="","",ROWS($L$5:L197)-(INDEX('Packet Builder'!$O$5:$O$34,$L197)-$M197-1))</f>
        <v/>
      </c>
      <c r="D197" s="22" t="str">
        <f>IF($L197="","",IF($C197&gt;$M197,"EOF",IFERROR(VALUE(TRIM(MID(SUBSTITUTE(INDEX('Packet Builder'!$P$5:$P$34,$L197),",",REPT(" ",LEN(INDEX('Packet Builder'!$P$5:$P$34,$L197)))),($C197-1)*LEN(INDEX('Packet Builder'!$P$5:$P$34,$L197))+1,LEN(INDEX('Packet Builder'!$P$5:$P$34,$L197))))),"ERR")))</f>
        <v/>
      </c>
      <c r="E197" s="21" t="str">
        <f>IF($L197="","",IF($C197&gt;$M197,"End of Frame Delimiter",IFERROR(INDEX(Fields!$B$5:$B$48,MATCH($D197,Fields!$A$5:$A$48,0)),"MISSING")))</f>
        <v/>
      </c>
      <c r="F197" s="22" t="str">
        <f>IF($L197="","",SUMIF($L$5:L197,L197,$G$5:G197)-G197)</f>
        <v/>
      </c>
      <c r="G197" s="22" t="str">
        <f>IF($L197="","",IF($C197&gt;$M197,Overview!$B$26,IFERROR(INDEX(Fields!$F$5:$F$48,MATCH($D197,Fields!$A$5:$A$48,0)),0)))</f>
        <v/>
      </c>
      <c r="H197" s="22" t="str">
        <f t="shared" ref="H197:H260" si="3">IF($L197="","",F197+G197-1)</f>
        <v/>
      </c>
      <c r="I197" s="21" t="str">
        <f>IF($L197="","",IF($C197&gt;$M197,IF(Overview!$B$26=1,"uint8","uint8["&amp;Overview!$B$26&amp;"]"),IFERROR(INDEX(Fields!$E$5:$E$48,MATCH($D197,Fields!$A$5:$A$48,0)),"MISSING")))</f>
        <v/>
      </c>
      <c r="J197" s="21" t="str">
        <f>IF($L197="","",IF($C197&gt;$M197,"Fixed end-of-frame delimiter, value "&amp;Overview!$B$25&amp;".",IFERROR(INDEX(Fields!$G$5:$G$48,MATCH($D197,Fields!$A$5:$A$48,0)),"MISSING")))</f>
        <v/>
      </c>
      <c r="K197" s="21" t="str">
        <f>IF($L197="","",IF($C197&gt;$M197,"n/a",IFERROR(INDEX(Fields!$H$5:$H$48,MATCH($D197,Fields!$A$5:$A$48,0)),"MISSING")))</f>
        <v/>
      </c>
      <c r="L197" s="23" t="str">
        <f>IF(ROWS($L$5:L197)&gt;MAX('Packet Builder'!$O$5:$O$34),"",COUNTIF('Packet Builder'!$O$5:$O$34,"&lt;"&amp;ROWS($L$5:L197))+1)</f>
        <v/>
      </c>
      <c r="M197" s="23" t="str">
        <f>IF($L197="","",INDEX('Packet Builder'!$F$5:$F$34,$L197))</f>
        <v/>
      </c>
    </row>
    <row r="198" spans="1:13" x14ac:dyDescent="0.35">
      <c r="A198" s="21" t="str">
        <f>IF($L198="","",INDEX('Packet Builder'!$A$5:$A$34,$L198))</f>
        <v/>
      </c>
      <c r="B198" s="21" t="str">
        <f>IF($L198="","",INDEX('Packet Builder'!$B$5:$B$34,$L198))</f>
        <v/>
      </c>
      <c r="C198" s="22" t="str">
        <f>IF($L198="","",ROWS($L$5:L198)-(INDEX('Packet Builder'!$O$5:$O$34,$L198)-$M198-1))</f>
        <v/>
      </c>
      <c r="D198" s="22" t="str">
        <f>IF($L198="","",IF($C198&gt;$M198,"EOF",IFERROR(VALUE(TRIM(MID(SUBSTITUTE(INDEX('Packet Builder'!$P$5:$P$34,$L198),",",REPT(" ",LEN(INDEX('Packet Builder'!$P$5:$P$34,$L198)))),($C198-1)*LEN(INDEX('Packet Builder'!$P$5:$P$34,$L198))+1,LEN(INDEX('Packet Builder'!$P$5:$P$34,$L198))))),"ERR")))</f>
        <v/>
      </c>
      <c r="E198" s="21" t="str">
        <f>IF($L198="","",IF($C198&gt;$M198,"End of Frame Delimiter",IFERROR(INDEX(Fields!$B$5:$B$48,MATCH($D198,Fields!$A$5:$A$48,0)),"MISSING")))</f>
        <v/>
      </c>
      <c r="F198" s="22" t="str">
        <f>IF($L198="","",SUMIF($L$5:L198,L198,$G$5:G198)-G198)</f>
        <v/>
      </c>
      <c r="G198" s="22" t="str">
        <f>IF($L198="","",IF($C198&gt;$M198,Overview!$B$26,IFERROR(INDEX(Fields!$F$5:$F$48,MATCH($D198,Fields!$A$5:$A$48,0)),0)))</f>
        <v/>
      </c>
      <c r="H198" s="22" t="str">
        <f t="shared" si="3"/>
        <v/>
      </c>
      <c r="I198" s="21" t="str">
        <f>IF($L198="","",IF($C198&gt;$M198,IF(Overview!$B$26=1,"uint8","uint8["&amp;Overview!$B$26&amp;"]"),IFERROR(INDEX(Fields!$E$5:$E$48,MATCH($D198,Fields!$A$5:$A$48,0)),"MISSING")))</f>
        <v/>
      </c>
      <c r="J198" s="21" t="str">
        <f>IF($L198="","",IF($C198&gt;$M198,"Fixed end-of-frame delimiter, value "&amp;Overview!$B$25&amp;".",IFERROR(INDEX(Fields!$G$5:$G$48,MATCH($D198,Fields!$A$5:$A$48,0)),"MISSING")))</f>
        <v/>
      </c>
      <c r="K198" s="21" t="str">
        <f>IF($L198="","",IF($C198&gt;$M198,"n/a",IFERROR(INDEX(Fields!$H$5:$H$48,MATCH($D198,Fields!$A$5:$A$48,0)),"MISSING")))</f>
        <v/>
      </c>
      <c r="L198" s="23" t="str">
        <f>IF(ROWS($L$5:L198)&gt;MAX('Packet Builder'!$O$5:$O$34),"",COUNTIF('Packet Builder'!$O$5:$O$34,"&lt;"&amp;ROWS($L$5:L198))+1)</f>
        <v/>
      </c>
      <c r="M198" s="23" t="str">
        <f>IF($L198="","",INDEX('Packet Builder'!$F$5:$F$34,$L198))</f>
        <v/>
      </c>
    </row>
    <row r="199" spans="1:13" x14ac:dyDescent="0.35">
      <c r="A199" s="21" t="str">
        <f>IF($L199="","",INDEX('Packet Builder'!$A$5:$A$34,$L199))</f>
        <v/>
      </c>
      <c r="B199" s="21" t="str">
        <f>IF($L199="","",INDEX('Packet Builder'!$B$5:$B$34,$L199))</f>
        <v/>
      </c>
      <c r="C199" s="22" t="str">
        <f>IF($L199="","",ROWS($L$5:L199)-(INDEX('Packet Builder'!$O$5:$O$34,$L199)-$M199-1))</f>
        <v/>
      </c>
      <c r="D199" s="22" t="str">
        <f>IF($L199="","",IF($C199&gt;$M199,"EOF",IFERROR(VALUE(TRIM(MID(SUBSTITUTE(INDEX('Packet Builder'!$P$5:$P$34,$L199),",",REPT(" ",LEN(INDEX('Packet Builder'!$P$5:$P$34,$L199)))),($C199-1)*LEN(INDEX('Packet Builder'!$P$5:$P$34,$L199))+1,LEN(INDEX('Packet Builder'!$P$5:$P$34,$L199))))),"ERR")))</f>
        <v/>
      </c>
      <c r="E199" s="21" t="str">
        <f>IF($L199="","",IF($C199&gt;$M199,"End of Frame Delimiter",IFERROR(INDEX(Fields!$B$5:$B$48,MATCH($D199,Fields!$A$5:$A$48,0)),"MISSING")))</f>
        <v/>
      </c>
      <c r="F199" s="22" t="str">
        <f>IF($L199="","",SUMIF($L$5:L199,L199,$G$5:G199)-G199)</f>
        <v/>
      </c>
      <c r="G199" s="22" t="str">
        <f>IF($L199="","",IF($C199&gt;$M199,Overview!$B$26,IFERROR(INDEX(Fields!$F$5:$F$48,MATCH($D199,Fields!$A$5:$A$48,0)),0)))</f>
        <v/>
      </c>
      <c r="H199" s="22" t="str">
        <f t="shared" si="3"/>
        <v/>
      </c>
      <c r="I199" s="21" t="str">
        <f>IF($L199="","",IF($C199&gt;$M199,IF(Overview!$B$26=1,"uint8","uint8["&amp;Overview!$B$26&amp;"]"),IFERROR(INDEX(Fields!$E$5:$E$48,MATCH($D199,Fields!$A$5:$A$48,0)),"MISSING")))</f>
        <v/>
      </c>
      <c r="J199" s="21" t="str">
        <f>IF($L199="","",IF($C199&gt;$M199,"Fixed end-of-frame delimiter, value "&amp;Overview!$B$25&amp;".",IFERROR(INDEX(Fields!$G$5:$G$48,MATCH($D199,Fields!$A$5:$A$48,0)),"MISSING")))</f>
        <v/>
      </c>
      <c r="K199" s="21" t="str">
        <f>IF($L199="","",IF($C199&gt;$M199,"n/a",IFERROR(INDEX(Fields!$H$5:$H$48,MATCH($D199,Fields!$A$5:$A$48,0)),"MISSING")))</f>
        <v/>
      </c>
      <c r="L199" s="23" t="str">
        <f>IF(ROWS($L$5:L199)&gt;MAX('Packet Builder'!$O$5:$O$34),"",COUNTIF('Packet Builder'!$O$5:$O$34,"&lt;"&amp;ROWS($L$5:L199))+1)</f>
        <v/>
      </c>
      <c r="M199" s="23" t="str">
        <f>IF($L199="","",INDEX('Packet Builder'!$F$5:$F$34,$L199))</f>
        <v/>
      </c>
    </row>
    <row r="200" spans="1:13" x14ac:dyDescent="0.35">
      <c r="A200" s="21" t="str">
        <f>IF($L200="","",INDEX('Packet Builder'!$A$5:$A$34,$L200))</f>
        <v/>
      </c>
      <c r="B200" s="21" t="str">
        <f>IF($L200="","",INDEX('Packet Builder'!$B$5:$B$34,$L200))</f>
        <v/>
      </c>
      <c r="C200" s="22" t="str">
        <f>IF($L200="","",ROWS($L$5:L200)-(INDEX('Packet Builder'!$O$5:$O$34,$L200)-$M200-1))</f>
        <v/>
      </c>
      <c r="D200" s="22" t="str">
        <f>IF($L200="","",IF($C200&gt;$M200,"EOF",IFERROR(VALUE(TRIM(MID(SUBSTITUTE(INDEX('Packet Builder'!$P$5:$P$34,$L200),",",REPT(" ",LEN(INDEX('Packet Builder'!$P$5:$P$34,$L200)))),($C200-1)*LEN(INDEX('Packet Builder'!$P$5:$P$34,$L200))+1,LEN(INDEX('Packet Builder'!$P$5:$P$34,$L200))))),"ERR")))</f>
        <v/>
      </c>
      <c r="E200" s="21" t="str">
        <f>IF($L200="","",IF($C200&gt;$M200,"End of Frame Delimiter",IFERROR(INDEX(Fields!$B$5:$B$48,MATCH($D200,Fields!$A$5:$A$48,0)),"MISSING")))</f>
        <v/>
      </c>
      <c r="F200" s="22" t="str">
        <f>IF($L200="","",SUMIF($L$5:L200,L200,$G$5:G200)-G200)</f>
        <v/>
      </c>
      <c r="G200" s="22" t="str">
        <f>IF($L200="","",IF($C200&gt;$M200,Overview!$B$26,IFERROR(INDEX(Fields!$F$5:$F$48,MATCH($D200,Fields!$A$5:$A$48,0)),0)))</f>
        <v/>
      </c>
      <c r="H200" s="22" t="str">
        <f t="shared" si="3"/>
        <v/>
      </c>
      <c r="I200" s="21" t="str">
        <f>IF($L200="","",IF($C200&gt;$M200,IF(Overview!$B$26=1,"uint8","uint8["&amp;Overview!$B$26&amp;"]"),IFERROR(INDEX(Fields!$E$5:$E$48,MATCH($D200,Fields!$A$5:$A$48,0)),"MISSING")))</f>
        <v/>
      </c>
      <c r="J200" s="21" t="str">
        <f>IF($L200="","",IF($C200&gt;$M200,"Fixed end-of-frame delimiter, value "&amp;Overview!$B$25&amp;".",IFERROR(INDEX(Fields!$G$5:$G$48,MATCH($D200,Fields!$A$5:$A$48,0)),"MISSING")))</f>
        <v/>
      </c>
      <c r="K200" s="21" t="str">
        <f>IF($L200="","",IF($C200&gt;$M200,"n/a",IFERROR(INDEX(Fields!$H$5:$H$48,MATCH($D200,Fields!$A$5:$A$48,0)),"MISSING")))</f>
        <v/>
      </c>
      <c r="L200" s="23" t="str">
        <f>IF(ROWS($L$5:L200)&gt;MAX('Packet Builder'!$O$5:$O$34),"",COUNTIF('Packet Builder'!$O$5:$O$34,"&lt;"&amp;ROWS($L$5:L200))+1)</f>
        <v/>
      </c>
      <c r="M200" s="23" t="str">
        <f>IF($L200="","",INDEX('Packet Builder'!$F$5:$F$34,$L200))</f>
        <v/>
      </c>
    </row>
    <row r="201" spans="1:13" x14ac:dyDescent="0.35">
      <c r="A201" s="21" t="str">
        <f>IF($L201="","",INDEX('Packet Builder'!$A$5:$A$34,$L201))</f>
        <v/>
      </c>
      <c r="B201" s="21" t="str">
        <f>IF($L201="","",INDEX('Packet Builder'!$B$5:$B$34,$L201))</f>
        <v/>
      </c>
      <c r="C201" s="22" t="str">
        <f>IF($L201="","",ROWS($L$5:L201)-(INDEX('Packet Builder'!$O$5:$O$34,$L201)-$M201-1))</f>
        <v/>
      </c>
      <c r="D201" s="22" t="str">
        <f>IF($L201="","",IF($C201&gt;$M201,"EOF",IFERROR(VALUE(TRIM(MID(SUBSTITUTE(INDEX('Packet Builder'!$P$5:$P$34,$L201),",",REPT(" ",LEN(INDEX('Packet Builder'!$P$5:$P$34,$L201)))),($C201-1)*LEN(INDEX('Packet Builder'!$P$5:$P$34,$L201))+1,LEN(INDEX('Packet Builder'!$P$5:$P$34,$L201))))),"ERR")))</f>
        <v/>
      </c>
      <c r="E201" s="21" t="str">
        <f>IF($L201="","",IF($C201&gt;$M201,"End of Frame Delimiter",IFERROR(INDEX(Fields!$B$5:$B$48,MATCH($D201,Fields!$A$5:$A$48,0)),"MISSING")))</f>
        <v/>
      </c>
      <c r="F201" s="22" t="str">
        <f>IF($L201="","",SUMIF($L$5:L201,L201,$G$5:G201)-G201)</f>
        <v/>
      </c>
      <c r="G201" s="22" t="str">
        <f>IF($L201="","",IF($C201&gt;$M201,Overview!$B$26,IFERROR(INDEX(Fields!$F$5:$F$48,MATCH($D201,Fields!$A$5:$A$48,0)),0)))</f>
        <v/>
      </c>
      <c r="H201" s="22" t="str">
        <f t="shared" si="3"/>
        <v/>
      </c>
      <c r="I201" s="21" t="str">
        <f>IF($L201="","",IF($C201&gt;$M201,IF(Overview!$B$26=1,"uint8","uint8["&amp;Overview!$B$26&amp;"]"),IFERROR(INDEX(Fields!$E$5:$E$48,MATCH($D201,Fields!$A$5:$A$48,0)),"MISSING")))</f>
        <v/>
      </c>
      <c r="J201" s="21" t="str">
        <f>IF($L201="","",IF($C201&gt;$M201,"Fixed end-of-frame delimiter, value "&amp;Overview!$B$25&amp;".",IFERROR(INDEX(Fields!$G$5:$G$48,MATCH($D201,Fields!$A$5:$A$48,0)),"MISSING")))</f>
        <v/>
      </c>
      <c r="K201" s="21" t="str">
        <f>IF($L201="","",IF($C201&gt;$M201,"n/a",IFERROR(INDEX(Fields!$H$5:$H$48,MATCH($D201,Fields!$A$5:$A$48,0)),"MISSING")))</f>
        <v/>
      </c>
      <c r="L201" s="23" t="str">
        <f>IF(ROWS($L$5:L201)&gt;MAX('Packet Builder'!$O$5:$O$34),"",COUNTIF('Packet Builder'!$O$5:$O$34,"&lt;"&amp;ROWS($L$5:L201))+1)</f>
        <v/>
      </c>
      <c r="M201" s="23" t="str">
        <f>IF($L201="","",INDEX('Packet Builder'!$F$5:$F$34,$L201))</f>
        <v/>
      </c>
    </row>
    <row r="202" spans="1:13" x14ac:dyDescent="0.35">
      <c r="A202" s="21" t="str">
        <f>IF($L202="","",INDEX('Packet Builder'!$A$5:$A$34,$L202))</f>
        <v/>
      </c>
      <c r="B202" s="21" t="str">
        <f>IF($L202="","",INDEX('Packet Builder'!$B$5:$B$34,$L202))</f>
        <v/>
      </c>
      <c r="C202" s="22" t="str">
        <f>IF($L202="","",ROWS($L$5:L202)-(INDEX('Packet Builder'!$O$5:$O$34,$L202)-$M202-1))</f>
        <v/>
      </c>
      <c r="D202" s="22" t="str">
        <f>IF($L202="","",IF($C202&gt;$M202,"EOF",IFERROR(VALUE(TRIM(MID(SUBSTITUTE(INDEX('Packet Builder'!$P$5:$P$34,$L202),",",REPT(" ",LEN(INDEX('Packet Builder'!$P$5:$P$34,$L202)))),($C202-1)*LEN(INDEX('Packet Builder'!$P$5:$P$34,$L202))+1,LEN(INDEX('Packet Builder'!$P$5:$P$34,$L202))))),"ERR")))</f>
        <v/>
      </c>
      <c r="E202" s="21" t="str">
        <f>IF($L202="","",IF($C202&gt;$M202,"End of Frame Delimiter",IFERROR(INDEX(Fields!$B$5:$B$48,MATCH($D202,Fields!$A$5:$A$48,0)),"MISSING")))</f>
        <v/>
      </c>
      <c r="F202" s="22" t="str">
        <f>IF($L202="","",SUMIF($L$5:L202,L202,$G$5:G202)-G202)</f>
        <v/>
      </c>
      <c r="G202" s="22" t="str">
        <f>IF($L202="","",IF($C202&gt;$M202,Overview!$B$26,IFERROR(INDEX(Fields!$F$5:$F$48,MATCH($D202,Fields!$A$5:$A$48,0)),0)))</f>
        <v/>
      </c>
      <c r="H202" s="22" t="str">
        <f t="shared" si="3"/>
        <v/>
      </c>
      <c r="I202" s="21" t="str">
        <f>IF($L202="","",IF($C202&gt;$M202,IF(Overview!$B$26=1,"uint8","uint8["&amp;Overview!$B$26&amp;"]"),IFERROR(INDEX(Fields!$E$5:$E$48,MATCH($D202,Fields!$A$5:$A$48,0)),"MISSING")))</f>
        <v/>
      </c>
      <c r="J202" s="21" t="str">
        <f>IF($L202="","",IF($C202&gt;$M202,"Fixed end-of-frame delimiter, value "&amp;Overview!$B$25&amp;".",IFERROR(INDEX(Fields!$G$5:$G$48,MATCH($D202,Fields!$A$5:$A$48,0)),"MISSING")))</f>
        <v/>
      </c>
      <c r="K202" s="21" t="str">
        <f>IF($L202="","",IF($C202&gt;$M202,"n/a",IFERROR(INDEX(Fields!$H$5:$H$48,MATCH($D202,Fields!$A$5:$A$48,0)),"MISSING")))</f>
        <v/>
      </c>
      <c r="L202" s="23" t="str">
        <f>IF(ROWS($L$5:L202)&gt;MAX('Packet Builder'!$O$5:$O$34),"",COUNTIF('Packet Builder'!$O$5:$O$34,"&lt;"&amp;ROWS($L$5:L202))+1)</f>
        <v/>
      </c>
      <c r="M202" s="23" t="str">
        <f>IF($L202="","",INDEX('Packet Builder'!$F$5:$F$34,$L202))</f>
        <v/>
      </c>
    </row>
    <row r="203" spans="1:13" x14ac:dyDescent="0.35">
      <c r="A203" s="21" t="str">
        <f>IF($L203="","",INDEX('Packet Builder'!$A$5:$A$34,$L203))</f>
        <v/>
      </c>
      <c r="B203" s="21" t="str">
        <f>IF($L203="","",INDEX('Packet Builder'!$B$5:$B$34,$L203))</f>
        <v/>
      </c>
      <c r="C203" s="22" t="str">
        <f>IF($L203="","",ROWS($L$5:L203)-(INDEX('Packet Builder'!$O$5:$O$34,$L203)-$M203-1))</f>
        <v/>
      </c>
      <c r="D203" s="22" t="str">
        <f>IF($L203="","",IF($C203&gt;$M203,"EOF",IFERROR(VALUE(TRIM(MID(SUBSTITUTE(INDEX('Packet Builder'!$P$5:$P$34,$L203),",",REPT(" ",LEN(INDEX('Packet Builder'!$P$5:$P$34,$L203)))),($C203-1)*LEN(INDEX('Packet Builder'!$P$5:$P$34,$L203))+1,LEN(INDEX('Packet Builder'!$P$5:$P$34,$L203))))),"ERR")))</f>
        <v/>
      </c>
      <c r="E203" s="21" t="str">
        <f>IF($L203="","",IF($C203&gt;$M203,"End of Frame Delimiter",IFERROR(INDEX(Fields!$B$5:$B$48,MATCH($D203,Fields!$A$5:$A$48,0)),"MISSING")))</f>
        <v/>
      </c>
      <c r="F203" s="22" t="str">
        <f>IF($L203="","",SUMIF($L$5:L203,L203,$G$5:G203)-G203)</f>
        <v/>
      </c>
      <c r="G203" s="22" t="str">
        <f>IF($L203="","",IF($C203&gt;$M203,Overview!$B$26,IFERROR(INDEX(Fields!$F$5:$F$48,MATCH($D203,Fields!$A$5:$A$48,0)),0)))</f>
        <v/>
      </c>
      <c r="H203" s="22" t="str">
        <f t="shared" si="3"/>
        <v/>
      </c>
      <c r="I203" s="21" t="str">
        <f>IF($L203="","",IF($C203&gt;$M203,IF(Overview!$B$26=1,"uint8","uint8["&amp;Overview!$B$26&amp;"]"),IFERROR(INDEX(Fields!$E$5:$E$48,MATCH($D203,Fields!$A$5:$A$48,0)),"MISSING")))</f>
        <v/>
      </c>
      <c r="J203" s="21" t="str">
        <f>IF($L203="","",IF($C203&gt;$M203,"Fixed end-of-frame delimiter, value "&amp;Overview!$B$25&amp;".",IFERROR(INDEX(Fields!$G$5:$G$48,MATCH($D203,Fields!$A$5:$A$48,0)),"MISSING")))</f>
        <v/>
      </c>
      <c r="K203" s="21" t="str">
        <f>IF($L203="","",IF($C203&gt;$M203,"n/a",IFERROR(INDEX(Fields!$H$5:$H$48,MATCH($D203,Fields!$A$5:$A$48,0)),"MISSING")))</f>
        <v/>
      </c>
      <c r="L203" s="23" t="str">
        <f>IF(ROWS($L$5:L203)&gt;MAX('Packet Builder'!$O$5:$O$34),"",COUNTIF('Packet Builder'!$O$5:$O$34,"&lt;"&amp;ROWS($L$5:L203))+1)</f>
        <v/>
      </c>
      <c r="M203" s="23" t="str">
        <f>IF($L203="","",INDEX('Packet Builder'!$F$5:$F$34,$L203))</f>
        <v/>
      </c>
    </row>
    <row r="204" spans="1:13" x14ac:dyDescent="0.35">
      <c r="A204" s="21" t="str">
        <f>IF($L204="","",INDEX('Packet Builder'!$A$5:$A$34,$L204))</f>
        <v/>
      </c>
      <c r="B204" s="21" t="str">
        <f>IF($L204="","",INDEX('Packet Builder'!$B$5:$B$34,$L204))</f>
        <v/>
      </c>
      <c r="C204" s="22" t="str">
        <f>IF($L204="","",ROWS($L$5:L204)-(INDEX('Packet Builder'!$O$5:$O$34,$L204)-$M204-1))</f>
        <v/>
      </c>
      <c r="D204" s="22" t="str">
        <f>IF($L204="","",IF($C204&gt;$M204,"EOF",IFERROR(VALUE(TRIM(MID(SUBSTITUTE(INDEX('Packet Builder'!$P$5:$P$34,$L204),",",REPT(" ",LEN(INDEX('Packet Builder'!$P$5:$P$34,$L204)))),($C204-1)*LEN(INDEX('Packet Builder'!$P$5:$P$34,$L204))+1,LEN(INDEX('Packet Builder'!$P$5:$P$34,$L204))))),"ERR")))</f>
        <v/>
      </c>
      <c r="E204" s="21" t="str">
        <f>IF($L204="","",IF($C204&gt;$M204,"End of Frame Delimiter",IFERROR(INDEX(Fields!$B$5:$B$48,MATCH($D204,Fields!$A$5:$A$48,0)),"MISSING")))</f>
        <v/>
      </c>
      <c r="F204" s="22" t="str">
        <f>IF($L204="","",SUMIF($L$5:L204,L204,$G$5:G204)-G204)</f>
        <v/>
      </c>
      <c r="G204" s="22" t="str">
        <f>IF($L204="","",IF($C204&gt;$M204,Overview!$B$26,IFERROR(INDEX(Fields!$F$5:$F$48,MATCH($D204,Fields!$A$5:$A$48,0)),0)))</f>
        <v/>
      </c>
      <c r="H204" s="22" t="str">
        <f t="shared" si="3"/>
        <v/>
      </c>
      <c r="I204" s="21" t="str">
        <f>IF($L204="","",IF($C204&gt;$M204,IF(Overview!$B$26=1,"uint8","uint8["&amp;Overview!$B$26&amp;"]"),IFERROR(INDEX(Fields!$E$5:$E$48,MATCH($D204,Fields!$A$5:$A$48,0)),"MISSING")))</f>
        <v/>
      </c>
      <c r="J204" s="21" t="str">
        <f>IF($L204="","",IF($C204&gt;$M204,"Fixed end-of-frame delimiter, value "&amp;Overview!$B$25&amp;".",IFERROR(INDEX(Fields!$G$5:$G$48,MATCH($D204,Fields!$A$5:$A$48,0)),"MISSING")))</f>
        <v/>
      </c>
      <c r="K204" s="21" t="str">
        <f>IF($L204="","",IF($C204&gt;$M204,"n/a",IFERROR(INDEX(Fields!$H$5:$H$48,MATCH($D204,Fields!$A$5:$A$48,0)),"MISSING")))</f>
        <v/>
      </c>
      <c r="L204" s="23" t="str">
        <f>IF(ROWS($L$5:L204)&gt;MAX('Packet Builder'!$O$5:$O$34),"",COUNTIF('Packet Builder'!$O$5:$O$34,"&lt;"&amp;ROWS($L$5:L204))+1)</f>
        <v/>
      </c>
      <c r="M204" s="23" t="str">
        <f>IF($L204="","",INDEX('Packet Builder'!$F$5:$F$34,$L204))</f>
        <v/>
      </c>
    </row>
    <row r="205" spans="1:13" x14ac:dyDescent="0.35">
      <c r="A205" s="21" t="str">
        <f>IF($L205="","",INDEX('Packet Builder'!$A$5:$A$34,$L205))</f>
        <v/>
      </c>
      <c r="B205" s="21" t="str">
        <f>IF($L205="","",INDEX('Packet Builder'!$B$5:$B$34,$L205))</f>
        <v/>
      </c>
      <c r="C205" s="22" t="str">
        <f>IF($L205="","",ROWS($L$5:L205)-(INDEX('Packet Builder'!$O$5:$O$34,$L205)-$M205-1))</f>
        <v/>
      </c>
      <c r="D205" s="22" t="str">
        <f>IF($L205="","",IF($C205&gt;$M205,"EOF",IFERROR(VALUE(TRIM(MID(SUBSTITUTE(INDEX('Packet Builder'!$P$5:$P$34,$L205),",",REPT(" ",LEN(INDEX('Packet Builder'!$P$5:$P$34,$L205)))),($C205-1)*LEN(INDEX('Packet Builder'!$P$5:$P$34,$L205))+1,LEN(INDEX('Packet Builder'!$P$5:$P$34,$L205))))),"ERR")))</f>
        <v/>
      </c>
      <c r="E205" s="21" t="str">
        <f>IF($L205="","",IF($C205&gt;$M205,"End of Frame Delimiter",IFERROR(INDEX(Fields!$B$5:$B$48,MATCH($D205,Fields!$A$5:$A$48,0)),"MISSING")))</f>
        <v/>
      </c>
      <c r="F205" s="22" t="str">
        <f>IF($L205="","",SUMIF($L$5:L205,L205,$G$5:G205)-G205)</f>
        <v/>
      </c>
      <c r="G205" s="22" t="str">
        <f>IF($L205="","",IF($C205&gt;$M205,Overview!$B$26,IFERROR(INDEX(Fields!$F$5:$F$48,MATCH($D205,Fields!$A$5:$A$48,0)),0)))</f>
        <v/>
      </c>
      <c r="H205" s="22" t="str">
        <f t="shared" si="3"/>
        <v/>
      </c>
      <c r="I205" s="21" t="str">
        <f>IF($L205="","",IF($C205&gt;$M205,IF(Overview!$B$26=1,"uint8","uint8["&amp;Overview!$B$26&amp;"]"),IFERROR(INDEX(Fields!$E$5:$E$48,MATCH($D205,Fields!$A$5:$A$48,0)),"MISSING")))</f>
        <v/>
      </c>
      <c r="J205" s="21" t="str">
        <f>IF($L205="","",IF($C205&gt;$M205,"Fixed end-of-frame delimiter, value "&amp;Overview!$B$25&amp;".",IFERROR(INDEX(Fields!$G$5:$G$48,MATCH($D205,Fields!$A$5:$A$48,0)),"MISSING")))</f>
        <v/>
      </c>
      <c r="K205" s="21" t="str">
        <f>IF($L205="","",IF($C205&gt;$M205,"n/a",IFERROR(INDEX(Fields!$H$5:$H$48,MATCH($D205,Fields!$A$5:$A$48,0)),"MISSING")))</f>
        <v/>
      </c>
      <c r="L205" s="23" t="str">
        <f>IF(ROWS($L$5:L205)&gt;MAX('Packet Builder'!$O$5:$O$34),"",COUNTIF('Packet Builder'!$O$5:$O$34,"&lt;"&amp;ROWS($L$5:L205))+1)</f>
        <v/>
      </c>
      <c r="M205" s="23" t="str">
        <f>IF($L205="","",INDEX('Packet Builder'!$F$5:$F$34,$L205))</f>
        <v/>
      </c>
    </row>
    <row r="206" spans="1:13" x14ac:dyDescent="0.35">
      <c r="A206" s="21" t="str">
        <f>IF($L206="","",INDEX('Packet Builder'!$A$5:$A$34,$L206))</f>
        <v/>
      </c>
      <c r="B206" s="21" t="str">
        <f>IF($L206="","",INDEX('Packet Builder'!$B$5:$B$34,$L206))</f>
        <v/>
      </c>
      <c r="C206" s="22" t="str">
        <f>IF($L206="","",ROWS($L$5:L206)-(INDEX('Packet Builder'!$O$5:$O$34,$L206)-$M206-1))</f>
        <v/>
      </c>
      <c r="D206" s="22" t="str">
        <f>IF($L206="","",IF($C206&gt;$M206,"EOF",IFERROR(VALUE(TRIM(MID(SUBSTITUTE(INDEX('Packet Builder'!$P$5:$P$34,$L206),",",REPT(" ",LEN(INDEX('Packet Builder'!$P$5:$P$34,$L206)))),($C206-1)*LEN(INDEX('Packet Builder'!$P$5:$P$34,$L206))+1,LEN(INDEX('Packet Builder'!$P$5:$P$34,$L206))))),"ERR")))</f>
        <v/>
      </c>
      <c r="E206" s="21" t="str">
        <f>IF($L206="","",IF($C206&gt;$M206,"End of Frame Delimiter",IFERROR(INDEX(Fields!$B$5:$B$48,MATCH($D206,Fields!$A$5:$A$48,0)),"MISSING")))</f>
        <v/>
      </c>
      <c r="F206" s="22" t="str">
        <f>IF($L206="","",SUMIF($L$5:L206,L206,$G$5:G206)-G206)</f>
        <v/>
      </c>
      <c r="G206" s="22" t="str">
        <f>IF($L206="","",IF($C206&gt;$M206,Overview!$B$26,IFERROR(INDEX(Fields!$F$5:$F$48,MATCH($D206,Fields!$A$5:$A$48,0)),0)))</f>
        <v/>
      </c>
      <c r="H206" s="22" t="str">
        <f t="shared" si="3"/>
        <v/>
      </c>
      <c r="I206" s="21" t="str">
        <f>IF($L206="","",IF($C206&gt;$M206,IF(Overview!$B$26=1,"uint8","uint8["&amp;Overview!$B$26&amp;"]"),IFERROR(INDEX(Fields!$E$5:$E$48,MATCH($D206,Fields!$A$5:$A$48,0)),"MISSING")))</f>
        <v/>
      </c>
      <c r="J206" s="21" t="str">
        <f>IF($L206="","",IF($C206&gt;$M206,"Fixed end-of-frame delimiter, value "&amp;Overview!$B$25&amp;".",IFERROR(INDEX(Fields!$G$5:$G$48,MATCH($D206,Fields!$A$5:$A$48,0)),"MISSING")))</f>
        <v/>
      </c>
      <c r="K206" s="21" t="str">
        <f>IF($L206="","",IF($C206&gt;$M206,"n/a",IFERROR(INDEX(Fields!$H$5:$H$48,MATCH($D206,Fields!$A$5:$A$48,0)),"MISSING")))</f>
        <v/>
      </c>
      <c r="L206" s="23" t="str">
        <f>IF(ROWS($L$5:L206)&gt;MAX('Packet Builder'!$O$5:$O$34),"",COUNTIF('Packet Builder'!$O$5:$O$34,"&lt;"&amp;ROWS($L$5:L206))+1)</f>
        <v/>
      </c>
      <c r="M206" s="23" t="str">
        <f>IF($L206="","",INDEX('Packet Builder'!$F$5:$F$34,$L206))</f>
        <v/>
      </c>
    </row>
    <row r="207" spans="1:13" x14ac:dyDescent="0.35">
      <c r="A207" s="21" t="str">
        <f>IF($L207="","",INDEX('Packet Builder'!$A$5:$A$34,$L207))</f>
        <v/>
      </c>
      <c r="B207" s="21" t="str">
        <f>IF($L207="","",INDEX('Packet Builder'!$B$5:$B$34,$L207))</f>
        <v/>
      </c>
      <c r="C207" s="22" t="str">
        <f>IF($L207="","",ROWS($L$5:L207)-(INDEX('Packet Builder'!$O$5:$O$34,$L207)-$M207-1))</f>
        <v/>
      </c>
      <c r="D207" s="22" t="str">
        <f>IF($L207="","",IF($C207&gt;$M207,"EOF",IFERROR(VALUE(TRIM(MID(SUBSTITUTE(INDEX('Packet Builder'!$P$5:$P$34,$L207),",",REPT(" ",LEN(INDEX('Packet Builder'!$P$5:$P$34,$L207)))),($C207-1)*LEN(INDEX('Packet Builder'!$P$5:$P$34,$L207))+1,LEN(INDEX('Packet Builder'!$P$5:$P$34,$L207))))),"ERR")))</f>
        <v/>
      </c>
      <c r="E207" s="21" t="str">
        <f>IF($L207="","",IF($C207&gt;$M207,"End of Frame Delimiter",IFERROR(INDEX(Fields!$B$5:$B$48,MATCH($D207,Fields!$A$5:$A$48,0)),"MISSING")))</f>
        <v/>
      </c>
      <c r="F207" s="22" t="str">
        <f>IF($L207="","",SUMIF($L$5:L207,L207,$G$5:G207)-G207)</f>
        <v/>
      </c>
      <c r="G207" s="22" t="str">
        <f>IF($L207="","",IF($C207&gt;$M207,Overview!$B$26,IFERROR(INDEX(Fields!$F$5:$F$48,MATCH($D207,Fields!$A$5:$A$48,0)),0)))</f>
        <v/>
      </c>
      <c r="H207" s="22" t="str">
        <f t="shared" si="3"/>
        <v/>
      </c>
      <c r="I207" s="21" t="str">
        <f>IF($L207="","",IF($C207&gt;$M207,IF(Overview!$B$26=1,"uint8","uint8["&amp;Overview!$B$26&amp;"]"),IFERROR(INDEX(Fields!$E$5:$E$48,MATCH($D207,Fields!$A$5:$A$48,0)),"MISSING")))</f>
        <v/>
      </c>
      <c r="J207" s="21" t="str">
        <f>IF($L207="","",IF($C207&gt;$M207,"Fixed end-of-frame delimiter, value "&amp;Overview!$B$25&amp;".",IFERROR(INDEX(Fields!$G$5:$G$48,MATCH($D207,Fields!$A$5:$A$48,0)),"MISSING")))</f>
        <v/>
      </c>
      <c r="K207" s="21" t="str">
        <f>IF($L207="","",IF($C207&gt;$M207,"n/a",IFERROR(INDEX(Fields!$H$5:$H$48,MATCH($D207,Fields!$A$5:$A$48,0)),"MISSING")))</f>
        <v/>
      </c>
      <c r="L207" s="23" t="str">
        <f>IF(ROWS($L$5:L207)&gt;MAX('Packet Builder'!$O$5:$O$34),"",COUNTIF('Packet Builder'!$O$5:$O$34,"&lt;"&amp;ROWS($L$5:L207))+1)</f>
        <v/>
      </c>
      <c r="M207" s="23" t="str">
        <f>IF($L207="","",INDEX('Packet Builder'!$F$5:$F$34,$L207))</f>
        <v/>
      </c>
    </row>
    <row r="208" spans="1:13" x14ac:dyDescent="0.35">
      <c r="A208" s="21" t="str">
        <f>IF($L208="","",INDEX('Packet Builder'!$A$5:$A$34,$L208))</f>
        <v/>
      </c>
      <c r="B208" s="21" t="str">
        <f>IF($L208="","",INDEX('Packet Builder'!$B$5:$B$34,$L208))</f>
        <v/>
      </c>
      <c r="C208" s="22" t="str">
        <f>IF($L208="","",ROWS($L$5:L208)-(INDEX('Packet Builder'!$O$5:$O$34,$L208)-$M208-1))</f>
        <v/>
      </c>
      <c r="D208" s="22" t="str">
        <f>IF($L208="","",IF($C208&gt;$M208,"EOF",IFERROR(VALUE(TRIM(MID(SUBSTITUTE(INDEX('Packet Builder'!$P$5:$P$34,$L208),",",REPT(" ",LEN(INDEX('Packet Builder'!$P$5:$P$34,$L208)))),($C208-1)*LEN(INDEX('Packet Builder'!$P$5:$P$34,$L208))+1,LEN(INDEX('Packet Builder'!$P$5:$P$34,$L208))))),"ERR")))</f>
        <v/>
      </c>
      <c r="E208" s="21" t="str">
        <f>IF($L208="","",IF($C208&gt;$M208,"End of Frame Delimiter",IFERROR(INDEX(Fields!$B$5:$B$48,MATCH($D208,Fields!$A$5:$A$48,0)),"MISSING")))</f>
        <v/>
      </c>
      <c r="F208" s="22" t="str">
        <f>IF($L208="","",SUMIF($L$5:L208,L208,$G$5:G208)-G208)</f>
        <v/>
      </c>
      <c r="G208" s="22" t="str">
        <f>IF($L208="","",IF($C208&gt;$M208,Overview!$B$26,IFERROR(INDEX(Fields!$F$5:$F$48,MATCH($D208,Fields!$A$5:$A$48,0)),0)))</f>
        <v/>
      </c>
      <c r="H208" s="22" t="str">
        <f t="shared" si="3"/>
        <v/>
      </c>
      <c r="I208" s="21" t="str">
        <f>IF($L208="","",IF($C208&gt;$M208,IF(Overview!$B$26=1,"uint8","uint8["&amp;Overview!$B$26&amp;"]"),IFERROR(INDEX(Fields!$E$5:$E$48,MATCH($D208,Fields!$A$5:$A$48,0)),"MISSING")))</f>
        <v/>
      </c>
      <c r="J208" s="21" t="str">
        <f>IF($L208="","",IF($C208&gt;$M208,"Fixed end-of-frame delimiter, value "&amp;Overview!$B$25&amp;".",IFERROR(INDEX(Fields!$G$5:$G$48,MATCH($D208,Fields!$A$5:$A$48,0)),"MISSING")))</f>
        <v/>
      </c>
      <c r="K208" s="21" t="str">
        <f>IF($L208="","",IF($C208&gt;$M208,"n/a",IFERROR(INDEX(Fields!$H$5:$H$48,MATCH($D208,Fields!$A$5:$A$48,0)),"MISSING")))</f>
        <v/>
      </c>
      <c r="L208" s="23" t="str">
        <f>IF(ROWS($L$5:L208)&gt;MAX('Packet Builder'!$O$5:$O$34),"",COUNTIF('Packet Builder'!$O$5:$O$34,"&lt;"&amp;ROWS($L$5:L208))+1)</f>
        <v/>
      </c>
      <c r="M208" s="23" t="str">
        <f>IF($L208="","",INDEX('Packet Builder'!$F$5:$F$34,$L208))</f>
        <v/>
      </c>
    </row>
    <row r="209" spans="1:13" x14ac:dyDescent="0.35">
      <c r="A209" s="21" t="str">
        <f>IF($L209="","",INDEX('Packet Builder'!$A$5:$A$34,$L209))</f>
        <v/>
      </c>
      <c r="B209" s="21" t="str">
        <f>IF($L209="","",INDEX('Packet Builder'!$B$5:$B$34,$L209))</f>
        <v/>
      </c>
      <c r="C209" s="22" t="str">
        <f>IF($L209="","",ROWS($L$5:L209)-(INDEX('Packet Builder'!$O$5:$O$34,$L209)-$M209-1))</f>
        <v/>
      </c>
      <c r="D209" s="22" t="str">
        <f>IF($L209="","",IF($C209&gt;$M209,"EOF",IFERROR(VALUE(TRIM(MID(SUBSTITUTE(INDEX('Packet Builder'!$P$5:$P$34,$L209),",",REPT(" ",LEN(INDEX('Packet Builder'!$P$5:$P$34,$L209)))),($C209-1)*LEN(INDEX('Packet Builder'!$P$5:$P$34,$L209))+1,LEN(INDEX('Packet Builder'!$P$5:$P$34,$L209))))),"ERR")))</f>
        <v/>
      </c>
      <c r="E209" s="21" t="str">
        <f>IF($L209="","",IF($C209&gt;$M209,"End of Frame Delimiter",IFERROR(INDEX(Fields!$B$5:$B$48,MATCH($D209,Fields!$A$5:$A$48,0)),"MISSING")))</f>
        <v/>
      </c>
      <c r="F209" s="22" t="str">
        <f>IF($L209="","",SUMIF($L$5:L209,L209,$G$5:G209)-G209)</f>
        <v/>
      </c>
      <c r="G209" s="22" t="str">
        <f>IF($L209="","",IF($C209&gt;$M209,Overview!$B$26,IFERROR(INDEX(Fields!$F$5:$F$48,MATCH($D209,Fields!$A$5:$A$48,0)),0)))</f>
        <v/>
      </c>
      <c r="H209" s="22" t="str">
        <f t="shared" si="3"/>
        <v/>
      </c>
      <c r="I209" s="21" t="str">
        <f>IF($L209="","",IF($C209&gt;$M209,IF(Overview!$B$26=1,"uint8","uint8["&amp;Overview!$B$26&amp;"]"),IFERROR(INDEX(Fields!$E$5:$E$48,MATCH($D209,Fields!$A$5:$A$48,0)),"MISSING")))</f>
        <v/>
      </c>
      <c r="J209" s="21" t="str">
        <f>IF($L209="","",IF($C209&gt;$M209,"Fixed end-of-frame delimiter, value "&amp;Overview!$B$25&amp;".",IFERROR(INDEX(Fields!$G$5:$G$48,MATCH($D209,Fields!$A$5:$A$48,0)),"MISSING")))</f>
        <v/>
      </c>
      <c r="K209" s="21" t="str">
        <f>IF($L209="","",IF($C209&gt;$M209,"n/a",IFERROR(INDEX(Fields!$H$5:$H$48,MATCH($D209,Fields!$A$5:$A$48,0)),"MISSING")))</f>
        <v/>
      </c>
      <c r="L209" s="23" t="str">
        <f>IF(ROWS($L$5:L209)&gt;MAX('Packet Builder'!$O$5:$O$34),"",COUNTIF('Packet Builder'!$O$5:$O$34,"&lt;"&amp;ROWS($L$5:L209))+1)</f>
        <v/>
      </c>
      <c r="M209" s="23" t="str">
        <f>IF($L209="","",INDEX('Packet Builder'!$F$5:$F$34,$L209))</f>
        <v/>
      </c>
    </row>
    <row r="210" spans="1:13" x14ac:dyDescent="0.35">
      <c r="A210" s="21" t="str">
        <f>IF($L210="","",INDEX('Packet Builder'!$A$5:$A$34,$L210))</f>
        <v/>
      </c>
      <c r="B210" s="21" t="str">
        <f>IF($L210="","",INDEX('Packet Builder'!$B$5:$B$34,$L210))</f>
        <v/>
      </c>
      <c r="C210" s="22" t="str">
        <f>IF($L210="","",ROWS($L$5:L210)-(INDEX('Packet Builder'!$O$5:$O$34,$L210)-$M210-1))</f>
        <v/>
      </c>
      <c r="D210" s="22" t="str">
        <f>IF($L210="","",IF($C210&gt;$M210,"EOF",IFERROR(VALUE(TRIM(MID(SUBSTITUTE(INDEX('Packet Builder'!$P$5:$P$34,$L210),",",REPT(" ",LEN(INDEX('Packet Builder'!$P$5:$P$34,$L210)))),($C210-1)*LEN(INDEX('Packet Builder'!$P$5:$P$34,$L210))+1,LEN(INDEX('Packet Builder'!$P$5:$P$34,$L210))))),"ERR")))</f>
        <v/>
      </c>
      <c r="E210" s="21" t="str">
        <f>IF($L210="","",IF($C210&gt;$M210,"End of Frame Delimiter",IFERROR(INDEX(Fields!$B$5:$B$48,MATCH($D210,Fields!$A$5:$A$48,0)),"MISSING")))</f>
        <v/>
      </c>
      <c r="F210" s="22" t="str">
        <f>IF($L210="","",SUMIF($L$5:L210,L210,$G$5:G210)-G210)</f>
        <v/>
      </c>
      <c r="G210" s="22" t="str">
        <f>IF($L210="","",IF($C210&gt;$M210,Overview!$B$26,IFERROR(INDEX(Fields!$F$5:$F$48,MATCH($D210,Fields!$A$5:$A$48,0)),0)))</f>
        <v/>
      </c>
      <c r="H210" s="22" t="str">
        <f t="shared" si="3"/>
        <v/>
      </c>
      <c r="I210" s="21" t="str">
        <f>IF($L210="","",IF($C210&gt;$M210,IF(Overview!$B$26=1,"uint8","uint8["&amp;Overview!$B$26&amp;"]"),IFERROR(INDEX(Fields!$E$5:$E$48,MATCH($D210,Fields!$A$5:$A$48,0)),"MISSING")))</f>
        <v/>
      </c>
      <c r="J210" s="21" t="str">
        <f>IF($L210="","",IF($C210&gt;$M210,"Fixed end-of-frame delimiter, value "&amp;Overview!$B$25&amp;".",IFERROR(INDEX(Fields!$G$5:$G$48,MATCH($D210,Fields!$A$5:$A$48,0)),"MISSING")))</f>
        <v/>
      </c>
      <c r="K210" s="21" t="str">
        <f>IF($L210="","",IF($C210&gt;$M210,"n/a",IFERROR(INDEX(Fields!$H$5:$H$48,MATCH($D210,Fields!$A$5:$A$48,0)),"MISSING")))</f>
        <v/>
      </c>
      <c r="L210" s="23" t="str">
        <f>IF(ROWS($L$5:L210)&gt;MAX('Packet Builder'!$O$5:$O$34),"",COUNTIF('Packet Builder'!$O$5:$O$34,"&lt;"&amp;ROWS($L$5:L210))+1)</f>
        <v/>
      </c>
      <c r="M210" s="23" t="str">
        <f>IF($L210="","",INDEX('Packet Builder'!$F$5:$F$34,$L210))</f>
        <v/>
      </c>
    </row>
    <row r="211" spans="1:13" x14ac:dyDescent="0.35">
      <c r="A211" s="21" t="str">
        <f>IF($L211="","",INDEX('Packet Builder'!$A$5:$A$34,$L211))</f>
        <v/>
      </c>
      <c r="B211" s="21" t="str">
        <f>IF($L211="","",INDEX('Packet Builder'!$B$5:$B$34,$L211))</f>
        <v/>
      </c>
      <c r="C211" s="22" t="str">
        <f>IF($L211="","",ROWS($L$5:L211)-(INDEX('Packet Builder'!$O$5:$O$34,$L211)-$M211-1))</f>
        <v/>
      </c>
      <c r="D211" s="22" t="str">
        <f>IF($L211="","",IF($C211&gt;$M211,"EOF",IFERROR(VALUE(TRIM(MID(SUBSTITUTE(INDEX('Packet Builder'!$P$5:$P$34,$L211),",",REPT(" ",LEN(INDEX('Packet Builder'!$P$5:$P$34,$L211)))),($C211-1)*LEN(INDEX('Packet Builder'!$P$5:$P$34,$L211))+1,LEN(INDEX('Packet Builder'!$P$5:$P$34,$L211))))),"ERR")))</f>
        <v/>
      </c>
      <c r="E211" s="21" t="str">
        <f>IF($L211="","",IF($C211&gt;$M211,"End of Frame Delimiter",IFERROR(INDEX(Fields!$B$5:$B$48,MATCH($D211,Fields!$A$5:$A$48,0)),"MISSING")))</f>
        <v/>
      </c>
      <c r="F211" s="22" t="str">
        <f>IF($L211="","",SUMIF($L$5:L211,L211,$G$5:G211)-G211)</f>
        <v/>
      </c>
      <c r="G211" s="22" t="str">
        <f>IF($L211="","",IF($C211&gt;$M211,Overview!$B$26,IFERROR(INDEX(Fields!$F$5:$F$48,MATCH($D211,Fields!$A$5:$A$48,0)),0)))</f>
        <v/>
      </c>
      <c r="H211" s="22" t="str">
        <f t="shared" si="3"/>
        <v/>
      </c>
      <c r="I211" s="21" t="str">
        <f>IF($L211="","",IF($C211&gt;$M211,IF(Overview!$B$26=1,"uint8","uint8["&amp;Overview!$B$26&amp;"]"),IFERROR(INDEX(Fields!$E$5:$E$48,MATCH($D211,Fields!$A$5:$A$48,0)),"MISSING")))</f>
        <v/>
      </c>
      <c r="J211" s="21" t="str">
        <f>IF($L211="","",IF($C211&gt;$M211,"Fixed end-of-frame delimiter, value "&amp;Overview!$B$25&amp;".",IFERROR(INDEX(Fields!$G$5:$G$48,MATCH($D211,Fields!$A$5:$A$48,0)),"MISSING")))</f>
        <v/>
      </c>
      <c r="K211" s="21" t="str">
        <f>IF($L211="","",IF($C211&gt;$M211,"n/a",IFERROR(INDEX(Fields!$H$5:$H$48,MATCH($D211,Fields!$A$5:$A$48,0)),"MISSING")))</f>
        <v/>
      </c>
      <c r="L211" s="23" t="str">
        <f>IF(ROWS($L$5:L211)&gt;MAX('Packet Builder'!$O$5:$O$34),"",COUNTIF('Packet Builder'!$O$5:$O$34,"&lt;"&amp;ROWS($L$5:L211))+1)</f>
        <v/>
      </c>
      <c r="M211" s="23" t="str">
        <f>IF($L211="","",INDEX('Packet Builder'!$F$5:$F$34,$L211))</f>
        <v/>
      </c>
    </row>
    <row r="212" spans="1:13" x14ac:dyDescent="0.35">
      <c r="A212" s="21" t="str">
        <f>IF($L212="","",INDEX('Packet Builder'!$A$5:$A$34,$L212))</f>
        <v/>
      </c>
      <c r="B212" s="21" t="str">
        <f>IF($L212="","",INDEX('Packet Builder'!$B$5:$B$34,$L212))</f>
        <v/>
      </c>
      <c r="C212" s="22" t="str">
        <f>IF($L212="","",ROWS($L$5:L212)-(INDEX('Packet Builder'!$O$5:$O$34,$L212)-$M212-1))</f>
        <v/>
      </c>
      <c r="D212" s="22" t="str">
        <f>IF($L212="","",IF($C212&gt;$M212,"EOF",IFERROR(VALUE(TRIM(MID(SUBSTITUTE(INDEX('Packet Builder'!$P$5:$P$34,$L212),",",REPT(" ",LEN(INDEX('Packet Builder'!$P$5:$P$34,$L212)))),($C212-1)*LEN(INDEX('Packet Builder'!$P$5:$P$34,$L212))+1,LEN(INDEX('Packet Builder'!$P$5:$P$34,$L212))))),"ERR")))</f>
        <v/>
      </c>
      <c r="E212" s="21" t="str">
        <f>IF($L212="","",IF($C212&gt;$M212,"End of Frame Delimiter",IFERROR(INDEX(Fields!$B$5:$B$48,MATCH($D212,Fields!$A$5:$A$48,0)),"MISSING")))</f>
        <v/>
      </c>
      <c r="F212" s="22" t="str">
        <f>IF($L212="","",SUMIF($L$5:L212,L212,$G$5:G212)-G212)</f>
        <v/>
      </c>
      <c r="G212" s="22" t="str">
        <f>IF($L212="","",IF($C212&gt;$M212,Overview!$B$26,IFERROR(INDEX(Fields!$F$5:$F$48,MATCH($D212,Fields!$A$5:$A$48,0)),0)))</f>
        <v/>
      </c>
      <c r="H212" s="22" t="str">
        <f t="shared" si="3"/>
        <v/>
      </c>
      <c r="I212" s="21" t="str">
        <f>IF($L212="","",IF($C212&gt;$M212,IF(Overview!$B$26=1,"uint8","uint8["&amp;Overview!$B$26&amp;"]"),IFERROR(INDEX(Fields!$E$5:$E$48,MATCH($D212,Fields!$A$5:$A$48,0)),"MISSING")))</f>
        <v/>
      </c>
      <c r="J212" s="21" t="str">
        <f>IF($L212="","",IF($C212&gt;$M212,"Fixed end-of-frame delimiter, value "&amp;Overview!$B$25&amp;".",IFERROR(INDEX(Fields!$G$5:$G$48,MATCH($D212,Fields!$A$5:$A$48,0)),"MISSING")))</f>
        <v/>
      </c>
      <c r="K212" s="21" t="str">
        <f>IF($L212="","",IF($C212&gt;$M212,"n/a",IFERROR(INDEX(Fields!$H$5:$H$48,MATCH($D212,Fields!$A$5:$A$48,0)),"MISSING")))</f>
        <v/>
      </c>
      <c r="L212" s="23" t="str">
        <f>IF(ROWS($L$5:L212)&gt;MAX('Packet Builder'!$O$5:$O$34),"",COUNTIF('Packet Builder'!$O$5:$O$34,"&lt;"&amp;ROWS($L$5:L212))+1)</f>
        <v/>
      </c>
      <c r="M212" s="23" t="str">
        <f>IF($L212="","",INDEX('Packet Builder'!$F$5:$F$34,$L212))</f>
        <v/>
      </c>
    </row>
    <row r="213" spans="1:13" x14ac:dyDescent="0.35">
      <c r="A213" s="21" t="str">
        <f>IF($L213="","",INDEX('Packet Builder'!$A$5:$A$34,$L213))</f>
        <v/>
      </c>
      <c r="B213" s="21" t="str">
        <f>IF($L213="","",INDEX('Packet Builder'!$B$5:$B$34,$L213))</f>
        <v/>
      </c>
      <c r="C213" s="22" t="str">
        <f>IF($L213="","",ROWS($L$5:L213)-(INDEX('Packet Builder'!$O$5:$O$34,$L213)-$M213-1))</f>
        <v/>
      </c>
      <c r="D213" s="22" t="str">
        <f>IF($L213="","",IF($C213&gt;$M213,"EOF",IFERROR(VALUE(TRIM(MID(SUBSTITUTE(INDEX('Packet Builder'!$P$5:$P$34,$L213),",",REPT(" ",LEN(INDEX('Packet Builder'!$P$5:$P$34,$L213)))),($C213-1)*LEN(INDEX('Packet Builder'!$P$5:$P$34,$L213))+1,LEN(INDEX('Packet Builder'!$P$5:$P$34,$L213))))),"ERR")))</f>
        <v/>
      </c>
      <c r="E213" s="21" t="str">
        <f>IF($L213="","",IF($C213&gt;$M213,"End of Frame Delimiter",IFERROR(INDEX(Fields!$B$5:$B$48,MATCH($D213,Fields!$A$5:$A$48,0)),"MISSING")))</f>
        <v/>
      </c>
      <c r="F213" s="22" t="str">
        <f>IF($L213="","",SUMIF($L$5:L213,L213,$G$5:G213)-G213)</f>
        <v/>
      </c>
      <c r="G213" s="22" t="str">
        <f>IF($L213="","",IF($C213&gt;$M213,Overview!$B$26,IFERROR(INDEX(Fields!$F$5:$F$48,MATCH($D213,Fields!$A$5:$A$48,0)),0)))</f>
        <v/>
      </c>
      <c r="H213" s="22" t="str">
        <f t="shared" si="3"/>
        <v/>
      </c>
      <c r="I213" s="21" t="str">
        <f>IF($L213="","",IF($C213&gt;$M213,IF(Overview!$B$26=1,"uint8","uint8["&amp;Overview!$B$26&amp;"]"),IFERROR(INDEX(Fields!$E$5:$E$48,MATCH($D213,Fields!$A$5:$A$48,0)),"MISSING")))</f>
        <v/>
      </c>
      <c r="J213" s="21" t="str">
        <f>IF($L213="","",IF($C213&gt;$M213,"Fixed end-of-frame delimiter, value "&amp;Overview!$B$25&amp;".",IFERROR(INDEX(Fields!$G$5:$G$48,MATCH($D213,Fields!$A$5:$A$48,0)),"MISSING")))</f>
        <v/>
      </c>
      <c r="K213" s="21" t="str">
        <f>IF($L213="","",IF($C213&gt;$M213,"n/a",IFERROR(INDEX(Fields!$H$5:$H$48,MATCH($D213,Fields!$A$5:$A$48,0)),"MISSING")))</f>
        <v/>
      </c>
      <c r="L213" s="23" t="str">
        <f>IF(ROWS($L$5:L213)&gt;MAX('Packet Builder'!$O$5:$O$34),"",COUNTIF('Packet Builder'!$O$5:$O$34,"&lt;"&amp;ROWS($L$5:L213))+1)</f>
        <v/>
      </c>
      <c r="M213" s="23" t="str">
        <f>IF($L213="","",INDEX('Packet Builder'!$F$5:$F$34,$L213))</f>
        <v/>
      </c>
    </row>
    <row r="214" spans="1:13" x14ac:dyDescent="0.35">
      <c r="A214" s="21" t="str">
        <f>IF($L214="","",INDEX('Packet Builder'!$A$5:$A$34,$L214))</f>
        <v/>
      </c>
      <c r="B214" s="21" t="str">
        <f>IF($L214="","",INDEX('Packet Builder'!$B$5:$B$34,$L214))</f>
        <v/>
      </c>
      <c r="C214" s="22" t="str">
        <f>IF($L214="","",ROWS($L$5:L214)-(INDEX('Packet Builder'!$O$5:$O$34,$L214)-$M214-1))</f>
        <v/>
      </c>
      <c r="D214" s="22" t="str">
        <f>IF($L214="","",IF($C214&gt;$M214,"EOF",IFERROR(VALUE(TRIM(MID(SUBSTITUTE(INDEX('Packet Builder'!$P$5:$P$34,$L214),",",REPT(" ",LEN(INDEX('Packet Builder'!$P$5:$P$34,$L214)))),($C214-1)*LEN(INDEX('Packet Builder'!$P$5:$P$34,$L214))+1,LEN(INDEX('Packet Builder'!$P$5:$P$34,$L214))))),"ERR")))</f>
        <v/>
      </c>
      <c r="E214" s="21" t="str">
        <f>IF($L214="","",IF($C214&gt;$M214,"End of Frame Delimiter",IFERROR(INDEX(Fields!$B$5:$B$48,MATCH($D214,Fields!$A$5:$A$48,0)),"MISSING")))</f>
        <v/>
      </c>
      <c r="F214" s="22" t="str">
        <f>IF($L214="","",SUMIF($L$5:L214,L214,$G$5:G214)-G214)</f>
        <v/>
      </c>
      <c r="G214" s="22" t="str">
        <f>IF($L214="","",IF($C214&gt;$M214,Overview!$B$26,IFERROR(INDEX(Fields!$F$5:$F$48,MATCH($D214,Fields!$A$5:$A$48,0)),0)))</f>
        <v/>
      </c>
      <c r="H214" s="22" t="str">
        <f t="shared" si="3"/>
        <v/>
      </c>
      <c r="I214" s="21" t="str">
        <f>IF($L214="","",IF($C214&gt;$M214,IF(Overview!$B$26=1,"uint8","uint8["&amp;Overview!$B$26&amp;"]"),IFERROR(INDEX(Fields!$E$5:$E$48,MATCH($D214,Fields!$A$5:$A$48,0)),"MISSING")))</f>
        <v/>
      </c>
      <c r="J214" s="21" t="str">
        <f>IF($L214="","",IF($C214&gt;$M214,"Fixed end-of-frame delimiter, value "&amp;Overview!$B$25&amp;".",IFERROR(INDEX(Fields!$G$5:$G$48,MATCH($D214,Fields!$A$5:$A$48,0)),"MISSING")))</f>
        <v/>
      </c>
      <c r="K214" s="21" t="str">
        <f>IF($L214="","",IF($C214&gt;$M214,"n/a",IFERROR(INDEX(Fields!$H$5:$H$48,MATCH($D214,Fields!$A$5:$A$48,0)),"MISSING")))</f>
        <v/>
      </c>
      <c r="L214" s="23" t="str">
        <f>IF(ROWS($L$5:L214)&gt;MAX('Packet Builder'!$O$5:$O$34),"",COUNTIF('Packet Builder'!$O$5:$O$34,"&lt;"&amp;ROWS($L$5:L214))+1)</f>
        <v/>
      </c>
      <c r="M214" s="23" t="str">
        <f>IF($L214="","",INDEX('Packet Builder'!$F$5:$F$34,$L214))</f>
        <v/>
      </c>
    </row>
    <row r="215" spans="1:13" x14ac:dyDescent="0.35">
      <c r="A215" s="21" t="str">
        <f>IF($L215="","",INDEX('Packet Builder'!$A$5:$A$34,$L215))</f>
        <v/>
      </c>
      <c r="B215" s="21" t="str">
        <f>IF($L215="","",INDEX('Packet Builder'!$B$5:$B$34,$L215))</f>
        <v/>
      </c>
      <c r="C215" s="22" t="str">
        <f>IF($L215="","",ROWS($L$5:L215)-(INDEX('Packet Builder'!$O$5:$O$34,$L215)-$M215-1))</f>
        <v/>
      </c>
      <c r="D215" s="22" t="str">
        <f>IF($L215="","",IF($C215&gt;$M215,"EOF",IFERROR(VALUE(TRIM(MID(SUBSTITUTE(INDEX('Packet Builder'!$P$5:$P$34,$L215),",",REPT(" ",LEN(INDEX('Packet Builder'!$P$5:$P$34,$L215)))),($C215-1)*LEN(INDEX('Packet Builder'!$P$5:$P$34,$L215))+1,LEN(INDEX('Packet Builder'!$P$5:$P$34,$L215))))),"ERR")))</f>
        <v/>
      </c>
      <c r="E215" s="21" t="str">
        <f>IF($L215="","",IF($C215&gt;$M215,"End of Frame Delimiter",IFERROR(INDEX(Fields!$B$5:$B$48,MATCH($D215,Fields!$A$5:$A$48,0)),"MISSING")))</f>
        <v/>
      </c>
      <c r="F215" s="22" t="str">
        <f>IF($L215="","",SUMIF($L$5:L215,L215,$G$5:G215)-G215)</f>
        <v/>
      </c>
      <c r="G215" s="22" t="str">
        <f>IF($L215="","",IF($C215&gt;$M215,Overview!$B$26,IFERROR(INDEX(Fields!$F$5:$F$48,MATCH($D215,Fields!$A$5:$A$48,0)),0)))</f>
        <v/>
      </c>
      <c r="H215" s="22" t="str">
        <f t="shared" si="3"/>
        <v/>
      </c>
      <c r="I215" s="21" t="str">
        <f>IF($L215="","",IF($C215&gt;$M215,IF(Overview!$B$26=1,"uint8","uint8["&amp;Overview!$B$26&amp;"]"),IFERROR(INDEX(Fields!$E$5:$E$48,MATCH($D215,Fields!$A$5:$A$48,0)),"MISSING")))</f>
        <v/>
      </c>
      <c r="J215" s="21" t="str">
        <f>IF($L215="","",IF($C215&gt;$M215,"Fixed end-of-frame delimiter, value "&amp;Overview!$B$25&amp;".",IFERROR(INDEX(Fields!$G$5:$G$48,MATCH($D215,Fields!$A$5:$A$48,0)),"MISSING")))</f>
        <v/>
      </c>
      <c r="K215" s="21" t="str">
        <f>IF($L215="","",IF($C215&gt;$M215,"n/a",IFERROR(INDEX(Fields!$H$5:$H$48,MATCH($D215,Fields!$A$5:$A$48,0)),"MISSING")))</f>
        <v/>
      </c>
      <c r="L215" s="23" t="str">
        <f>IF(ROWS($L$5:L215)&gt;MAX('Packet Builder'!$O$5:$O$34),"",COUNTIF('Packet Builder'!$O$5:$O$34,"&lt;"&amp;ROWS($L$5:L215))+1)</f>
        <v/>
      </c>
      <c r="M215" s="23" t="str">
        <f>IF($L215="","",INDEX('Packet Builder'!$F$5:$F$34,$L215))</f>
        <v/>
      </c>
    </row>
    <row r="216" spans="1:13" x14ac:dyDescent="0.35">
      <c r="A216" s="21" t="str">
        <f>IF($L216="","",INDEX('Packet Builder'!$A$5:$A$34,$L216))</f>
        <v/>
      </c>
      <c r="B216" s="21" t="str">
        <f>IF($L216="","",INDEX('Packet Builder'!$B$5:$B$34,$L216))</f>
        <v/>
      </c>
      <c r="C216" s="22" t="str">
        <f>IF($L216="","",ROWS($L$5:L216)-(INDEX('Packet Builder'!$O$5:$O$34,$L216)-$M216-1))</f>
        <v/>
      </c>
      <c r="D216" s="22" t="str">
        <f>IF($L216="","",IF($C216&gt;$M216,"EOF",IFERROR(VALUE(TRIM(MID(SUBSTITUTE(INDEX('Packet Builder'!$P$5:$P$34,$L216),",",REPT(" ",LEN(INDEX('Packet Builder'!$P$5:$P$34,$L216)))),($C216-1)*LEN(INDEX('Packet Builder'!$P$5:$P$34,$L216))+1,LEN(INDEX('Packet Builder'!$P$5:$P$34,$L216))))),"ERR")))</f>
        <v/>
      </c>
      <c r="E216" s="21" t="str">
        <f>IF($L216="","",IF($C216&gt;$M216,"End of Frame Delimiter",IFERROR(INDEX(Fields!$B$5:$B$48,MATCH($D216,Fields!$A$5:$A$48,0)),"MISSING")))</f>
        <v/>
      </c>
      <c r="F216" s="22" t="str">
        <f>IF($L216="","",SUMIF($L$5:L216,L216,$G$5:G216)-G216)</f>
        <v/>
      </c>
      <c r="G216" s="22" t="str">
        <f>IF($L216="","",IF($C216&gt;$M216,Overview!$B$26,IFERROR(INDEX(Fields!$F$5:$F$48,MATCH($D216,Fields!$A$5:$A$48,0)),0)))</f>
        <v/>
      </c>
      <c r="H216" s="22" t="str">
        <f t="shared" si="3"/>
        <v/>
      </c>
      <c r="I216" s="21" t="str">
        <f>IF($L216="","",IF($C216&gt;$M216,IF(Overview!$B$26=1,"uint8","uint8["&amp;Overview!$B$26&amp;"]"),IFERROR(INDEX(Fields!$E$5:$E$48,MATCH($D216,Fields!$A$5:$A$48,0)),"MISSING")))</f>
        <v/>
      </c>
      <c r="J216" s="21" t="str">
        <f>IF($L216="","",IF($C216&gt;$M216,"Fixed end-of-frame delimiter, value "&amp;Overview!$B$25&amp;".",IFERROR(INDEX(Fields!$G$5:$G$48,MATCH($D216,Fields!$A$5:$A$48,0)),"MISSING")))</f>
        <v/>
      </c>
      <c r="K216" s="21" t="str">
        <f>IF($L216="","",IF($C216&gt;$M216,"n/a",IFERROR(INDEX(Fields!$H$5:$H$48,MATCH($D216,Fields!$A$5:$A$48,0)),"MISSING")))</f>
        <v/>
      </c>
      <c r="L216" s="23" t="str">
        <f>IF(ROWS($L$5:L216)&gt;MAX('Packet Builder'!$O$5:$O$34),"",COUNTIF('Packet Builder'!$O$5:$O$34,"&lt;"&amp;ROWS($L$5:L216))+1)</f>
        <v/>
      </c>
      <c r="M216" s="23" t="str">
        <f>IF($L216="","",INDEX('Packet Builder'!$F$5:$F$34,$L216))</f>
        <v/>
      </c>
    </row>
    <row r="217" spans="1:13" x14ac:dyDescent="0.35">
      <c r="A217" s="21" t="str">
        <f>IF($L217="","",INDEX('Packet Builder'!$A$5:$A$34,$L217))</f>
        <v/>
      </c>
      <c r="B217" s="21" t="str">
        <f>IF($L217="","",INDEX('Packet Builder'!$B$5:$B$34,$L217))</f>
        <v/>
      </c>
      <c r="C217" s="22" t="str">
        <f>IF($L217="","",ROWS($L$5:L217)-(INDEX('Packet Builder'!$O$5:$O$34,$L217)-$M217-1))</f>
        <v/>
      </c>
      <c r="D217" s="22" t="str">
        <f>IF($L217="","",IF($C217&gt;$M217,"EOF",IFERROR(VALUE(TRIM(MID(SUBSTITUTE(INDEX('Packet Builder'!$P$5:$P$34,$L217),",",REPT(" ",LEN(INDEX('Packet Builder'!$P$5:$P$34,$L217)))),($C217-1)*LEN(INDEX('Packet Builder'!$P$5:$P$34,$L217))+1,LEN(INDEX('Packet Builder'!$P$5:$P$34,$L217))))),"ERR")))</f>
        <v/>
      </c>
      <c r="E217" s="21" t="str">
        <f>IF($L217="","",IF($C217&gt;$M217,"End of Frame Delimiter",IFERROR(INDEX(Fields!$B$5:$B$48,MATCH($D217,Fields!$A$5:$A$48,0)),"MISSING")))</f>
        <v/>
      </c>
      <c r="F217" s="22" t="str">
        <f>IF($L217="","",SUMIF($L$5:L217,L217,$G$5:G217)-G217)</f>
        <v/>
      </c>
      <c r="G217" s="22" t="str">
        <f>IF($L217="","",IF($C217&gt;$M217,Overview!$B$26,IFERROR(INDEX(Fields!$F$5:$F$48,MATCH($D217,Fields!$A$5:$A$48,0)),0)))</f>
        <v/>
      </c>
      <c r="H217" s="22" t="str">
        <f t="shared" si="3"/>
        <v/>
      </c>
      <c r="I217" s="21" t="str">
        <f>IF($L217="","",IF($C217&gt;$M217,IF(Overview!$B$26=1,"uint8","uint8["&amp;Overview!$B$26&amp;"]"),IFERROR(INDEX(Fields!$E$5:$E$48,MATCH($D217,Fields!$A$5:$A$48,0)),"MISSING")))</f>
        <v/>
      </c>
      <c r="J217" s="21" t="str">
        <f>IF($L217="","",IF($C217&gt;$M217,"Fixed end-of-frame delimiter, value "&amp;Overview!$B$25&amp;".",IFERROR(INDEX(Fields!$G$5:$G$48,MATCH($D217,Fields!$A$5:$A$48,0)),"MISSING")))</f>
        <v/>
      </c>
      <c r="K217" s="21" t="str">
        <f>IF($L217="","",IF($C217&gt;$M217,"n/a",IFERROR(INDEX(Fields!$H$5:$H$48,MATCH($D217,Fields!$A$5:$A$48,0)),"MISSING")))</f>
        <v/>
      </c>
      <c r="L217" s="23" t="str">
        <f>IF(ROWS($L$5:L217)&gt;MAX('Packet Builder'!$O$5:$O$34),"",COUNTIF('Packet Builder'!$O$5:$O$34,"&lt;"&amp;ROWS($L$5:L217))+1)</f>
        <v/>
      </c>
      <c r="M217" s="23" t="str">
        <f>IF($L217="","",INDEX('Packet Builder'!$F$5:$F$34,$L217))</f>
        <v/>
      </c>
    </row>
    <row r="218" spans="1:13" x14ac:dyDescent="0.35">
      <c r="A218" s="21" t="str">
        <f>IF($L218="","",INDEX('Packet Builder'!$A$5:$A$34,$L218))</f>
        <v/>
      </c>
      <c r="B218" s="21" t="str">
        <f>IF($L218="","",INDEX('Packet Builder'!$B$5:$B$34,$L218))</f>
        <v/>
      </c>
      <c r="C218" s="22" t="str">
        <f>IF($L218="","",ROWS($L$5:L218)-(INDEX('Packet Builder'!$O$5:$O$34,$L218)-$M218-1))</f>
        <v/>
      </c>
      <c r="D218" s="22" t="str">
        <f>IF($L218="","",IF($C218&gt;$M218,"EOF",IFERROR(VALUE(TRIM(MID(SUBSTITUTE(INDEX('Packet Builder'!$P$5:$P$34,$L218),",",REPT(" ",LEN(INDEX('Packet Builder'!$P$5:$P$34,$L218)))),($C218-1)*LEN(INDEX('Packet Builder'!$P$5:$P$34,$L218))+1,LEN(INDEX('Packet Builder'!$P$5:$P$34,$L218))))),"ERR")))</f>
        <v/>
      </c>
      <c r="E218" s="21" t="str">
        <f>IF($L218="","",IF($C218&gt;$M218,"End of Frame Delimiter",IFERROR(INDEX(Fields!$B$5:$B$48,MATCH($D218,Fields!$A$5:$A$48,0)),"MISSING")))</f>
        <v/>
      </c>
      <c r="F218" s="22" t="str">
        <f>IF($L218="","",SUMIF($L$5:L218,L218,$G$5:G218)-G218)</f>
        <v/>
      </c>
      <c r="G218" s="22" t="str">
        <f>IF($L218="","",IF($C218&gt;$M218,Overview!$B$26,IFERROR(INDEX(Fields!$F$5:$F$48,MATCH($D218,Fields!$A$5:$A$48,0)),0)))</f>
        <v/>
      </c>
      <c r="H218" s="22" t="str">
        <f t="shared" si="3"/>
        <v/>
      </c>
      <c r="I218" s="21" t="str">
        <f>IF($L218="","",IF($C218&gt;$M218,IF(Overview!$B$26=1,"uint8","uint8["&amp;Overview!$B$26&amp;"]"),IFERROR(INDEX(Fields!$E$5:$E$48,MATCH($D218,Fields!$A$5:$A$48,0)),"MISSING")))</f>
        <v/>
      </c>
      <c r="J218" s="21" t="str">
        <f>IF($L218="","",IF($C218&gt;$M218,"Fixed end-of-frame delimiter, value "&amp;Overview!$B$25&amp;".",IFERROR(INDEX(Fields!$G$5:$G$48,MATCH($D218,Fields!$A$5:$A$48,0)),"MISSING")))</f>
        <v/>
      </c>
      <c r="K218" s="21" t="str">
        <f>IF($L218="","",IF($C218&gt;$M218,"n/a",IFERROR(INDEX(Fields!$H$5:$H$48,MATCH($D218,Fields!$A$5:$A$48,0)),"MISSING")))</f>
        <v/>
      </c>
      <c r="L218" s="23" t="str">
        <f>IF(ROWS($L$5:L218)&gt;MAX('Packet Builder'!$O$5:$O$34),"",COUNTIF('Packet Builder'!$O$5:$O$34,"&lt;"&amp;ROWS($L$5:L218))+1)</f>
        <v/>
      </c>
      <c r="M218" s="23" t="str">
        <f>IF($L218="","",INDEX('Packet Builder'!$F$5:$F$34,$L218))</f>
        <v/>
      </c>
    </row>
    <row r="219" spans="1:13" x14ac:dyDescent="0.35">
      <c r="A219" s="21" t="str">
        <f>IF($L219="","",INDEX('Packet Builder'!$A$5:$A$34,$L219))</f>
        <v/>
      </c>
      <c r="B219" s="21" t="str">
        <f>IF($L219="","",INDEX('Packet Builder'!$B$5:$B$34,$L219))</f>
        <v/>
      </c>
      <c r="C219" s="22" t="str">
        <f>IF($L219="","",ROWS($L$5:L219)-(INDEX('Packet Builder'!$O$5:$O$34,$L219)-$M219-1))</f>
        <v/>
      </c>
      <c r="D219" s="22" t="str">
        <f>IF($L219="","",IF($C219&gt;$M219,"EOF",IFERROR(VALUE(TRIM(MID(SUBSTITUTE(INDEX('Packet Builder'!$P$5:$P$34,$L219),",",REPT(" ",LEN(INDEX('Packet Builder'!$P$5:$P$34,$L219)))),($C219-1)*LEN(INDEX('Packet Builder'!$P$5:$P$34,$L219))+1,LEN(INDEX('Packet Builder'!$P$5:$P$34,$L219))))),"ERR")))</f>
        <v/>
      </c>
      <c r="E219" s="21" t="str">
        <f>IF($L219="","",IF($C219&gt;$M219,"End of Frame Delimiter",IFERROR(INDEX(Fields!$B$5:$B$48,MATCH($D219,Fields!$A$5:$A$48,0)),"MISSING")))</f>
        <v/>
      </c>
      <c r="F219" s="22" t="str">
        <f>IF($L219="","",SUMIF($L$5:L219,L219,$G$5:G219)-G219)</f>
        <v/>
      </c>
      <c r="G219" s="22" t="str">
        <f>IF($L219="","",IF($C219&gt;$M219,Overview!$B$26,IFERROR(INDEX(Fields!$F$5:$F$48,MATCH($D219,Fields!$A$5:$A$48,0)),0)))</f>
        <v/>
      </c>
      <c r="H219" s="22" t="str">
        <f t="shared" si="3"/>
        <v/>
      </c>
      <c r="I219" s="21" t="str">
        <f>IF($L219="","",IF($C219&gt;$M219,IF(Overview!$B$26=1,"uint8","uint8["&amp;Overview!$B$26&amp;"]"),IFERROR(INDEX(Fields!$E$5:$E$48,MATCH($D219,Fields!$A$5:$A$48,0)),"MISSING")))</f>
        <v/>
      </c>
      <c r="J219" s="21" t="str">
        <f>IF($L219="","",IF($C219&gt;$M219,"Fixed end-of-frame delimiter, value "&amp;Overview!$B$25&amp;".",IFERROR(INDEX(Fields!$G$5:$G$48,MATCH($D219,Fields!$A$5:$A$48,0)),"MISSING")))</f>
        <v/>
      </c>
      <c r="K219" s="21" t="str">
        <f>IF($L219="","",IF($C219&gt;$M219,"n/a",IFERROR(INDEX(Fields!$H$5:$H$48,MATCH($D219,Fields!$A$5:$A$48,0)),"MISSING")))</f>
        <v/>
      </c>
      <c r="L219" s="23" t="str">
        <f>IF(ROWS($L$5:L219)&gt;MAX('Packet Builder'!$O$5:$O$34),"",COUNTIF('Packet Builder'!$O$5:$O$34,"&lt;"&amp;ROWS($L$5:L219))+1)</f>
        <v/>
      </c>
      <c r="M219" s="23" t="str">
        <f>IF($L219="","",INDEX('Packet Builder'!$F$5:$F$34,$L219))</f>
        <v/>
      </c>
    </row>
    <row r="220" spans="1:13" x14ac:dyDescent="0.35">
      <c r="A220" s="21" t="str">
        <f>IF($L220="","",INDEX('Packet Builder'!$A$5:$A$34,$L220))</f>
        <v/>
      </c>
      <c r="B220" s="21" t="str">
        <f>IF($L220="","",INDEX('Packet Builder'!$B$5:$B$34,$L220))</f>
        <v/>
      </c>
      <c r="C220" s="22" t="str">
        <f>IF($L220="","",ROWS($L$5:L220)-(INDEX('Packet Builder'!$O$5:$O$34,$L220)-$M220-1))</f>
        <v/>
      </c>
      <c r="D220" s="22" t="str">
        <f>IF($L220="","",IF($C220&gt;$M220,"EOF",IFERROR(VALUE(TRIM(MID(SUBSTITUTE(INDEX('Packet Builder'!$P$5:$P$34,$L220),",",REPT(" ",LEN(INDEX('Packet Builder'!$P$5:$P$34,$L220)))),($C220-1)*LEN(INDEX('Packet Builder'!$P$5:$P$34,$L220))+1,LEN(INDEX('Packet Builder'!$P$5:$P$34,$L220))))),"ERR")))</f>
        <v/>
      </c>
      <c r="E220" s="21" t="str">
        <f>IF($L220="","",IF($C220&gt;$M220,"End of Frame Delimiter",IFERROR(INDEX(Fields!$B$5:$B$48,MATCH($D220,Fields!$A$5:$A$48,0)),"MISSING")))</f>
        <v/>
      </c>
      <c r="F220" s="22" t="str">
        <f>IF($L220="","",SUMIF($L$5:L220,L220,$G$5:G220)-G220)</f>
        <v/>
      </c>
      <c r="G220" s="22" t="str">
        <f>IF($L220="","",IF($C220&gt;$M220,Overview!$B$26,IFERROR(INDEX(Fields!$F$5:$F$48,MATCH($D220,Fields!$A$5:$A$48,0)),0)))</f>
        <v/>
      </c>
      <c r="H220" s="22" t="str">
        <f t="shared" si="3"/>
        <v/>
      </c>
      <c r="I220" s="21" t="str">
        <f>IF($L220="","",IF($C220&gt;$M220,IF(Overview!$B$26=1,"uint8","uint8["&amp;Overview!$B$26&amp;"]"),IFERROR(INDEX(Fields!$E$5:$E$48,MATCH($D220,Fields!$A$5:$A$48,0)),"MISSING")))</f>
        <v/>
      </c>
      <c r="J220" s="21" t="str">
        <f>IF($L220="","",IF($C220&gt;$M220,"Fixed end-of-frame delimiter, value "&amp;Overview!$B$25&amp;".",IFERROR(INDEX(Fields!$G$5:$G$48,MATCH($D220,Fields!$A$5:$A$48,0)),"MISSING")))</f>
        <v/>
      </c>
      <c r="K220" s="21" t="str">
        <f>IF($L220="","",IF($C220&gt;$M220,"n/a",IFERROR(INDEX(Fields!$H$5:$H$48,MATCH($D220,Fields!$A$5:$A$48,0)),"MISSING")))</f>
        <v/>
      </c>
      <c r="L220" s="23" t="str">
        <f>IF(ROWS($L$5:L220)&gt;MAX('Packet Builder'!$O$5:$O$34),"",COUNTIF('Packet Builder'!$O$5:$O$34,"&lt;"&amp;ROWS($L$5:L220))+1)</f>
        <v/>
      </c>
      <c r="M220" s="23" t="str">
        <f>IF($L220="","",INDEX('Packet Builder'!$F$5:$F$34,$L220))</f>
        <v/>
      </c>
    </row>
    <row r="221" spans="1:13" x14ac:dyDescent="0.35">
      <c r="A221" s="21" t="str">
        <f>IF($L221="","",INDEX('Packet Builder'!$A$5:$A$34,$L221))</f>
        <v/>
      </c>
      <c r="B221" s="21" t="str">
        <f>IF($L221="","",INDEX('Packet Builder'!$B$5:$B$34,$L221))</f>
        <v/>
      </c>
      <c r="C221" s="22" t="str">
        <f>IF($L221="","",ROWS($L$5:L221)-(INDEX('Packet Builder'!$O$5:$O$34,$L221)-$M221-1))</f>
        <v/>
      </c>
      <c r="D221" s="22" t="str">
        <f>IF($L221="","",IF($C221&gt;$M221,"EOF",IFERROR(VALUE(TRIM(MID(SUBSTITUTE(INDEX('Packet Builder'!$P$5:$P$34,$L221),",",REPT(" ",LEN(INDEX('Packet Builder'!$P$5:$P$34,$L221)))),($C221-1)*LEN(INDEX('Packet Builder'!$P$5:$P$34,$L221))+1,LEN(INDEX('Packet Builder'!$P$5:$P$34,$L221))))),"ERR")))</f>
        <v/>
      </c>
      <c r="E221" s="21" t="str">
        <f>IF($L221="","",IF($C221&gt;$M221,"End of Frame Delimiter",IFERROR(INDEX(Fields!$B$5:$B$48,MATCH($D221,Fields!$A$5:$A$48,0)),"MISSING")))</f>
        <v/>
      </c>
      <c r="F221" s="22" t="str">
        <f>IF($L221="","",SUMIF($L$5:L221,L221,$G$5:G221)-G221)</f>
        <v/>
      </c>
      <c r="G221" s="22" t="str">
        <f>IF($L221="","",IF($C221&gt;$M221,Overview!$B$26,IFERROR(INDEX(Fields!$F$5:$F$48,MATCH($D221,Fields!$A$5:$A$48,0)),0)))</f>
        <v/>
      </c>
      <c r="H221" s="22" t="str">
        <f t="shared" si="3"/>
        <v/>
      </c>
      <c r="I221" s="21" t="str">
        <f>IF($L221="","",IF($C221&gt;$M221,IF(Overview!$B$26=1,"uint8","uint8["&amp;Overview!$B$26&amp;"]"),IFERROR(INDEX(Fields!$E$5:$E$48,MATCH($D221,Fields!$A$5:$A$48,0)),"MISSING")))</f>
        <v/>
      </c>
      <c r="J221" s="21" t="str">
        <f>IF($L221="","",IF($C221&gt;$M221,"Fixed end-of-frame delimiter, value "&amp;Overview!$B$25&amp;".",IFERROR(INDEX(Fields!$G$5:$G$48,MATCH($D221,Fields!$A$5:$A$48,0)),"MISSING")))</f>
        <v/>
      </c>
      <c r="K221" s="21" t="str">
        <f>IF($L221="","",IF($C221&gt;$M221,"n/a",IFERROR(INDEX(Fields!$H$5:$H$48,MATCH($D221,Fields!$A$5:$A$48,0)),"MISSING")))</f>
        <v/>
      </c>
      <c r="L221" s="23" t="str">
        <f>IF(ROWS($L$5:L221)&gt;MAX('Packet Builder'!$O$5:$O$34),"",COUNTIF('Packet Builder'!$O$5:$O$34,"&lt;"&amp;ROWS($L$5:L221))+1)</f>
        <v/>
      </c>
      <c r="M221" s="23" t="str">
        <f>IF($L221="","",INDEX('Packet Builder'!$F$5:$F$34,$L221))</f>
        <v/>
      </c>
    </row>
    <row r="222" spans="1:13" x14ac:dyDescent="0.35">
      <c r="A222" s="21" t="str">
        <f>IF($L222="","",INDEX('Packet Builder'!$A$5:$A$34,$L222))</f>
        <v/>
      </c>
      <c r="B222" s="21" t="str">
        <f>IF($L222="","",INDEX('Packet Builder'!$B$5:$B$34,$L222))</f>
        <v/>
      </c>
      <c r="C222" s="22" t="str">
        <f>IF($L222="","",ROWS($L$5:L222)-(INDEX('Packet Builder'!$O$5:$O$34,$L222)-$M222-1))</f>
        <v/>
      </c>
      <c r="D222" s="22" t="str">
        <f>IF($L222="","",IF($C222&gt;$M222,"EOF",IFERROR(VALUE(TRIM(MID(SUBSTITUTE(INDEX('Packet Builder'!$P$5:$P$34,$L222),",",REPT(" ",LEN(INDEX('Packet Builder'!$P$5:$P$34,$L222)))),($C222-1)*LEN(INDEX('Packet Builder'!$P$5:$P$34,$L222))+1,LEN(INDEX('Packet Builder'!$P$5:$P$34,$L222))))),"ERR")))</f>
        <v/>
      </c>
      <c r="E222" s="21" t="str">
        <f>IF($L222="","",IF($C222&gt;$M222,"End of Frame Delimiter",IFERROR(INDEX(Fields!$B$5:$B$48,MATCH($D222,Fields!$A$5:$A$48,0)),"MISSING")))</f>
        <v/>
      </c>
      <c r="F222" s="22" t="str">
        <f>IF($L222="","",SUMIF($L$5:L222,L222,$G$5:G222)-G222)</f>
        <v/>
      </c>
      <c r="G222" s="22" t="str">
        <f>IF($L222="","",IF($C222&gt;$M222,Overview!$B$26,IFERROR(INDEX(Fields!$F$5:$F$48,MATCH($D222,Fields!$A$5:$A$48,0)),0)))</f>
        <v/>
      </c>
      <c r="H222" s="22" t="str">
        <f t="shared" si="3"/>
        <v/>
      </c>
      <c r="I222" s="21" t="str">
        <f>IF($L222="","",IF($C222&gt;$M222,IF(Overview!$B$26=1,"uint8","uint8["&amp;Overview!$B$26&amp;"]"),IFERROR(INDEX(Fields!$E$5:$E$48,MATCH($D222,Fields!$A$5:$A$48,0)),"MISSING")))</f>
        <v/>
      </c>
      <c r="J222" s="21" t="str">
        <f>IF($L222="","",IF($C222&gt;$M222,"Fixed end-of-frame delimiter, value "&amp;Overview!$B$25&amp;".",IFERROR(INDEX(Fields!$G$5:$G$48,MATCH($D222,Fields!$A$5:$A$48,0)),"MISSING")))</f>
        <v/>
      </c>
      <c r="K222" s="21" t="str">
        <f>IF($L222="","",IF($C222&gt;$M222,"n/a",IFERROR(INDEX(Fields!$H$5:$H$48,MATCH($D222,Fields!$A$5:$A$48,0)),"MISSING")))</f>
        <v/>
      </c>
      <c r="L222" s="23" t="str">
        <f>IF(ROWS($L$5:L222)&gt;MAX('Packet Builder'!$O$5:$O$34),"",COUNTIF('Packet Builder'!$O$5:$O$34,"&lt;"&amp;ROWS($L$5:L222))+1)</f>
        <v/>
      </c>
      <c r="M222" s="23" t="str">
        <f>IF($L222="","",INDEX('Packet Builder'!$F$5:$F$34,$L222))</f>
        <v/>
      </c>
    </row>
    <row r="223" spans="1:13" x14ac:dyDescent="0.35">
      <c r="A223" s="21" t="str">
        <f>IF($L223="","",INDEX('Packet Builder'!$A$5:$A$34,$L223))</f>
        <v/>
      </c>
      <c r="B223" s="21" t="str">
        <f>IF($L223="","",INDEX('Packet Builder'!$B$5:$B$34,$L223))</f>
        <v/>
      </c>
      <c r="C223" s="22" t="str">
        <f>IF($L223="","",ROWS($L$5:L223)-(INDEX('Packet Builder'!$O$5:$O$34,$L223)-$M223-1))</f>
        <v/>
      </c>
      <c r="D223" s="22" t="str">
        <f>IF($L223="","",IF($C223&gt;$M223,"EOF",IFERROR(VALUE(TRIM(MID(SUBSTITUTE(INDEX('Packet Builder'!$P$5:$P$34,$L223),",",REPT(" ",LEN(INDEX('Packet Builder'!$P$5:$P$34,$L223)))),($C223-1)*LEN(INDEX('Packet Builder'!$P$5:$P$34,$L223))+1,LEN(INDEX('Packet Builder'!$P$5:$P$34,$L223))))),"ERR")))</f>
        <v/>
      </c>
      <c r="E223" s="21" t="str">
        <f>IF($L223="","",IF($C223&gt;$M223,"End of Frame Delimiter",IFERROR(INDEX(Fields!$B$5:$B$48,MATCH($D223,Fields!$A$5:$A$48,0)),"MISSING")))</f>
        <v/>
      </c>
      <c r="F223" s="22" t="str">
        <f>IF($L223="","",SUMIF($L$5:L223,L223,$G$5:G223)-G223)</f>
        <v/>
      </c>
      <c r="G223" s="22" t="str">
        <f>IF($L223="","",IF($C223&gt;$M223,Overview!$B$26,IFERROR(INDEX(Fields!$F$5:$F$48,MATCH($D223,Fields!$A$5:$A$48,0)),0)))</f>
        <v/>
      </c>
      <c r="H223" s="22" t="str">
        <f t="shared" si="3"/>
        <v/>
      </c>
      <c r="I223" s="21" t="str">
        <f>IF($L223="","",IF($C223&gt;$M223,IF(Overview!$B$26=1,"uint8","uint8["&amp;Overview!$B$26&amp;"]"),IFERROR(INDEX(Fields!$E$5:$E$48,MATCH($D223,Fields!$A$5:$A$48,0)),"MISSING")))</f>
        <v/>
      </c>
      <c r="J223" s="21" t="str">
        <f>IF($L223="","",IF($C223&gt;$M223,"Fixed end-of-frame delimiter, value "&amp;Overview!$B$25&amp;".",IFERROR(INDEX(Fields!$G$5:$G$48,MATCH($D223,Fields!$A$5:$A$48,0)),"MISSING")))</f>
        <v/>
      </c>
      <c r="K223" s="21" t="str">
        <f>IF($L223="","",IF($C223&gt;$M223,"n/a",IFERROR(INDEX(Fields!$H$5:$H$48,MATCH($D223,Fields!$A$5:$A$48,0)),"MISSING")))</f>
        <v/>
      </c>
      <c r="L223" s="23" t="str">
        <f>IF(ROWS($L$5:L223)&gt;MAX('Packet Builder'!$O$5:$O$34),"",COUNTIF('Packet Builder'!$O$5:$O$34,"&lt;"&amp;ROWS($L$5:L223))+1)</f>
        <v/>
      </c>
      <c r="M223" s="23" t="str">
        <f>IF($L223="","",INDEX('Packet Builder'!$F$5:$F$34,$L223))</f>
        <v/>
      </c>
    </row>
    <row r="224" spans="1:13" x14ac:dyDescent="0.35">
      <c r="A224" s="21" t="str">
        <f>IF($L224="","",INDEX('Packet Builder'!$A$5:$A$34,$L224))</f>
        <v/>
      </c>
      <c r="B224" s="21" t="str">
        <f>IF($L224="","",INDEX('Packet Builder'!$B$5:$B$34,$L224))</f>
        <v/>
      </c>
      <c r="C224" s="22" t="str">
        <f>IF($L224="","",ROWS($L$5:L224)-(INDEX('Packet Builder'!$O$5:$O$34,$L224)-$M224-1))</f>
        <v/>
      </c>
      <c r="D224" s="22" t="str">
        <f>IF($L224="","",IF($C224&gt;$M224,"EOF",IFERROR(VALUE(TRIM(MID(SUBSTITUTE(INDEX('Packet Builder'!$P$5:$P$34,$L224),",",REPT(" ",LEN(INDEX('Packet Builder'!$P$5:$P$34,$L224)))),($C224-1)*LEN(INDEX('Packet Builder'!$P$5:$P$34,$L224))+1,LEN(INDEX('Packet Builder'!$P$5:$P$34,$L224))))),"ERR")))</f>
        <v/>
      </c>
      <c r="E224" s="21" t="str">
        <f>IF($L224="","",IF($C224&gt;$M224,"End of Frame Delimiter",IFERROR(INDEX(Fields!$B$5:$B$48,MATCH($D224,Fields!$A$5:$A$48,0)),"MISSING")))</f>
        <v/>
      </c>
      <c r="F224" s="22" t="str">
        <f>IF($L224="","",SUMIF($L$5:L224,L224,$G$5:G224)-G224)</f>
        <v/>
      </c>
      <c r="G224" s="22" t="str">
        <f>IF($L224="","",IF($C224&gt;$M224,Overview!$B$26,IFERROR(INDEX(Fields!$F$5:$F$48,MATCH($D224,Fields!$A$5:$A$48,0)),0)))</f>
        <v/>
      </c>
      <c r="H224" s="22" t="str">
        <f t="shared" si="3"/>
        <v/>
      </c>
      <c r="I224" s="21" t="str">
        <f>IF($L224="","",IF($C224&gt;$M224,IF(Overview!$B$26=1,"uint8","uint8["&amp;Overview!$B$26&amp;"]"),IFERROR(INDEX(Fields!$E$5:$E$48,MATCH($D224,Fields!$A$5:$A$48,0)),"MISSING")))</f>
        <v/>
      </c>
      <c r="J224" s="21" t="str">
        <f>IF($L224="","",IF($C224&gt;$M224,"Fixed end-of-frame delimiter, value "&amp;Overview!$B$25&amp;".",IFERROR(INDEX(Fields!$G$5:$G$48,MATCH($D224,Fields!$A$5:$A$48,0)),"MISSING")))</f>
        <v/>
      </c>
      <c r="K224" s="21" t="str">
        <f>IF($L224="","",IF($C224&gt;$M224,"n/a",IFERROR(INDEX(Fields!$H$5:$H$48,MATCH($D224,Fields!$A$5:$A$48,0)),"MISSING")))</f>
        <v/>
      </c>
      <c r="L224" s="23" t="str">
        <f>IF(ROWS($L$5:L224)&gt;MAX('Packet Builder'!$O$5:$O$34),"",COUNTIF('Packet Builder'!$O$5:$O$34,"&lt;"&amp;ROWS($L$5:L224))+1)</f>
        <v/>
      </c>
      <c r="M224" s="23" t="str">
        <f>IF($L224="","",INDEX('Packet Builder'!$F$5:$F$34,$L224))</f>
        <v/>
      </c>
    </row>
    <row r="225" spans="1:13" x14ac:dyDescent="0.35">
      <c r="A225" s="21" t="str">
        <f>IF($L225="","",INDEX('Packet Builder'!$A$5:$A$34,$L225))</f>
        <v/>
      </c>
      <c r="B225" s="21" t="str">
        <f>IF($L225="","",INDEX('Packet Builder'!$B$5:$B$34,$L225))</f>
        <v/>
      </c>
      <c r="C225" s="22" t="str">
        <f>IF($L225="","",ROWS($L$5:L225)-(INDEX('Packet Builder'!$O$5:$O$34,$L225)-$M225-1))</f>
        <v/>
      </c>
      <c r="D225" s="22" t="str">
        <f>IF($L225="","",IF($C225&gt;$M225,"EOF",IFERROR(VALUE(TRIM(MID(SUBSTITUTE(INDEX('Packet Builder'!$P$5:$P$34,$L225),",",REPT(" ",LEN(INDEX('Packet Builder'!$P$5:$P$34,$L225)))),($C225-1)*LEN(INDEX('Packet Builder'!$P$5:$P$34,$L225))+1,LEN(INDEX('Packet Builder'!$P$5:$P$34,$L225))))),"ERR")))</f>
        <v/>
      </c>
      <c r="E225" s="21" t="str">
        <f>IF($L225="","",IF($C225&gt;$M225,"End of Frame Delimiter",IFERROR(INDEX(Fields!$B$5:$B$48,MATCH($D225,Fields!$A$5:$A$48,0)),"MISSING")))</f>
        <v/>
      </c>
      <c r="F225" s="22" t="str">
        <f>IF($L225="","",SUMIF($L$5:L225,L225,$G$5:G225)-G225)</f>
        <v/>
      </c>
      <c r="G225" s="22" t="str">
        <f>IF($L225="","",IF($C225&gt;$M225,Overview!$B$26,IFERROR(INDEX(Fields!$F$5:$F$48,MATCH($D225,Fields!$A$5:$A$48,0)),0)))</f>
        <v/>
      </c>
      <c r="H225" s="22" t="str">
        <f t="shared" si="3"/>
        <v/>
      </c>
      <c r="I225" s="21" t="str">
        <f>IF($L225="","",IF($C225&gt;$M225,IF(Overview!$B$26=1,"uint8","uint8["&amp;Overview!$B$26&amp;"]"),IFERROR(INDEX(Fields!$E$5:$E$48,MATCH($D225,Fields!$A$5:$A$48,0)),"MISSING")))</f>
        <v/>
      </c>
      <c r="J225" s="21" t="str">
        <f>IF($L225="","",IF($C225&gt;$M225,"Fixed end-of-frame delimiter, value "&amp;Overview!$B$25&amp;".",IFERROR(INDEX(Fields!$G$5:$G$48,MATCH($D225,Fields!$A$5:$A$48,0)),"MISSING")))</f>
        <v/>
      </c>
      <c r="K225" s="21" t="str">
        <f>IF($L225="","",IF($C225&gt;$M225,"n/a",IFERROR(INDEX(Fields!$H$5:$H$48,MATCH($D225,Fields!$A$5:$A$48,0)),"MISSING")))</f>
        <v/>
      </c>
      <c r="L225" s="23" t="str">
        <f>IF(ROWS($L$5:L225)&gt;MAX('Packet Builder'!$O$5:$O$34),"",COUNTIF('Packet Builder'!$O$5:$O$34,"&lt;"&amp;ROWS($L$5:L225))+1)</f>
        <v/>
      </c>
      <c r="M225" s="23" t="str">
        <f>IF($L225="","",INDEX('Packet Builder'!$F$5:$F$34,$L225))</f>
        <v/>
      </c>
    </row>
    <row r="226" spans="1:13" x14ac:dyDescent="0.35">
      <c r="A226" s="21" t="str">
        <f>IF($L226="","",INDEX('Packet Builder'!$A$5:$A$34,$L226))</f>
        <v/>
      </c>
      <c r="B226" s="21" t="str">
        <f>IF($L226="","",INDEX('Packet Builder'!$B$5:$B$34,$L226))</f>
        <v/>
      </c>
      <c r="C226" s="22" t="str">
        <f>IF($L226="","",ROWS($L$5:L226)-(INDEX('Packet Builder'!$O$5:$O$34,$L226)-$M226-1))</f>
        <v/>
      </c>
      <c r="D226" s="22" t="str">
        <f>IF($L226="","",IF($C226&gt;$M226,"EOF",IFERROR(VALUE(TRIM(MID(SUBSTITUTE(INDEX('Packet Builder'!$P$5:$P$34,$L226),",",REPT(" ",LEN(INDEX('Packet Builder'!$P$5:$P$34,$L226)))),($C226-1)*LEN(INDEX('Packet Builder'!$P$5:$P$34,$L226))+1,LEN(INDEX('Packet Builder'!$P$5:$P$34,$L226))))),"ERR")))</f>
        <v/>
      </c>
      <c r="E226" s="21" t="str">
        <f>IF($L226="","",IF($C226&gt;$M226,"End of Frame Delimiter",IFERROR(INDEX(Fields!$B$5:$B$48,MATCH($D226,Fields!$A$5:$A$48,0)),"MISSING")))</f>
        <v/>
      </c>
      <c r="F226" s="22" t="str">
        <f>IF($L226="","",SUMIF($L$5:L226,L226,$G$5:G226)-G226)</f>
        <v/>
      </c>
      <c r="G226" s="22" t="str">
        <f>IF($L226="","",IF($C226&gt;$M226,Overview!$B$26,IFERROR(INDEX(Fields!$F$5:$F$48,MATCH($D226,Fields!$A$5:$A$48,0)),0)))</f>
        <v/>
      </c>
      <c r="H226" s="22" t="str">
        <f t="shared" si="3"/>
        <v/>
      </c>
      <c r="I226" s="21" t="str">
        <f>IF($L226="","",IF($C226&gt;$M226,IF(Overview!$B$26=1,"uint8","uint8["&amp;Overview!$B$26&amp;"]"),IFERROR(INDEX(Fields!$E$5:$E$48,MATCH($D226,Fields!$A$5:$A$48,0)),"MISSING")))</f>
        <v/>
      </c>
      <c r="J226" s="21" t="str">
        <f>IF($L226="","",IF($C226&gt;$M226,"Fixed end-of-frame delimiter, value "&amp;Overview!$B$25&amp;".",IFERROR(INDEX(Fields!$G$5:$G$48,MATCH($D226,Fields!$A$5:$A$48,0)),"MISSING")))</f>
        <v/>
      </c>
      <c r="K226" s="21" t="str">
        <f>IF($L226="","",IF($C226&gt;$M226,"n/a",IFERROR(INDEX(Fields!$H$5:$H$48,MATCH($D226,Fields!$A$5:$A$48,0)),"MISSING")))</f>
        <v/>
      </c>
      <c r="L226" s="23" t="str">
        <f>IF(ROWS($L$5:L226)&gt;MAX('Packet Builder'!$O$5:$O$34),"",COUNTIF('Packet Builder'!$O$5:$O$34,"&lt;"&amp;ROWS($L$5:L226))+1)</f>
        <v/>
      </c>
      <c r="M226" s="23" t="str">
        <f>IF($L226="","",INDEX('Packet Builder'!$F$5:$F$34,$L226))</f>
        <v/>
      </c>
    </row>
    <row r="227" spans="1:13" x14ac:dyDescent="0.35">
      <c r="A227" s="21" t="str">
        <f>IF($L227="","",INDEX('Packet Builder'!$A$5:$A$34,$L227))</f>
        <v/>
      </c>
      <c r="B227" s="21" t="str">
        <f>IF($L227="","",INDEX('Packet Builder'!$B$5:$B$34,$L227))</f>
        <v/>
      </c>
      <c r="C227" s="22" t="str">
        <f>IF($L227="","",ROWS($L$5:L227)-(INDEX('Packet Builder'!$O$5:$O$34,$L227)-$M227-1))</f>
        <v/>
      </c>
      <c r="D227" s="22" t="str">
        <f>IF($L227="","",IF($C227&gt;$M227,"EOF",IFERROR(VALUE(TRIM(MID(SUBSTITUTE(INDEX('Packet Builder'!$P$5:$P$34,$L227),",",REPT(" ",LEN(INDEX('Packet Builder'!$P$5:$P$34,$L227)))),($C227-1)*LEN(INDEX('Packet Builder'!$P$5:$P$34,$L227))+1,LEN(INDEX('Packet Builder'!$P$5:$P$34,$L227))))),"ERR")))</f>
        <v/>
      </c>
      <c r="E227" s="21" t="str">
        <f>IF($L227="","",IF($C227&gt;$M227,"End of Frame Delimiter",IFERROR(INDEX(Fields!$B$5:$B$48,MATCH($D227,Fields!$A$5:$A$48,0)),"MISSING")))</f>
        <v/>
      </c>
      <c r="F227" s="22" t="str">
        <f>IF($L227="","",SUMIF($L$5:L227,L227,$G$5:G227)-G227)</f>
        <v/>
      </c>
      <c r="G227" s="22" t="str">
        <f>IF($L227="","",IF($C227&gt;$M227,Overview!$B$26,IFERROR(INDEX(Fields!$F$5:$F$48,MATCH($D227,Fields!$A$5:$A$48,0)),0)))</f>
        <v/>
      </c>
      <c r="H227" s="22" t="str">
        <f t="shared" si="3"/>
        <v/>
      </c>
      <c r="I227" s="21" t="str">
        <f>IF($L227="","",IF($C227&gt;$M227,IF(Overview!$B$26=1,"uint8","uint8["&amp;Overview!$B$26&amp;"]"),IFERROR(INDEX(Fields!$E$5:$E$48,MATCH($D227,Fields!$A$5:$A$48,0)),"MISSING")))</f>
        <v/>
      </c>
      <c r="J227" s="21" t="str">
        <f>IF($L227="","",IF($C227&gt;$M227,"Fixed end-of-frame delimiter, value "&amp;Overview!$B$25&amp;".",IFERROR(INDEX(Fields!$G$5:$G$48,MATCH($D227,Fields!$A$5:$A$48,0)),"MISSING")))</f>
        <v/>
      </c>
      <c r="K227" s="21" t="str">
        <f>IF($L227="","",IF($C227&gt;$M227,"n/a",IFERROR(INDEX(Fields!$H$5:$H$48,MATCH($D227,Fields!$A$5:$A$48,0)),"MISSING")))</f>
        <v/>
      </c>
      <c r="L227" s="23" t="str">
        <f>IF(ROWS($L$5:L227)&gt;MAX('Packet Builder'!$O$5:$O$34),"",COUNTIF('Packet Builder'!$O$5:$O$34,"&lt;"&amp;ROWS($L$5:L227))+1)</f>
        <v/>
      </c>
      <c r="M227" s="23" t="str">
        <f>IF($L227="","",INDEX('Packet Builder'!$F$5:$F$34,$L227))</f>
        <v/>
      </c>
    </row>
    <row r="228" spans="1:13" x14ac:dyDescent="0.35">
      <c r="A228" s="21" t="str">
        <f>IF($L228="","",INDEX('Packet Builder'!$A$5:$A$34,$L228))</f>
        <v/>
      </c>
      <c r="B228" s="21" t="str">
        <f>IF($L228="","",INDEX('Packet Builder'!$B$5:$B$34,$L228))</f>
        <v/>
      </c>
      <c r="C228" s="22" t="str">
        <f>IF($L228="","",ROWS($L$5:L228)-(INDEX('Packet Builder'!$O$5:$O$34,$L228)-$M228-1))</f>
        <v/>
      </c>
      <c r="D228" s="22" t="str">
        <f>IF($L228="","",IF($C228&gt;$M228,"EOF",IFERROR(VALUE(TRIM(MID(SUBSTITUTE(INDEX('Packet Builder'!$P$5:$P$34,$L228),",",REPT(" ",LEN(INDEX('Packet Builder'!$P$5:$P$34,$L228)))),($C228-1)*LEN(INDEX('Packet Builder'!$P$5:$P$34,$L228))+1,LEN(INDEX('Packet Builder'!$P$5:$P$34,$L228))))),"ERR")))</f>
        <v/>
      </c>
      <c r="E228" s="21" t="str">
        <f>IF($L228="","",IF($C228&gt;$M228,"End of Frame Delimiter",IFERROR(INDEX(Fields!$B$5:$B$48,MATCH($D228,Fields!$A$5:$A$48,0)),"MISSING")))</f>
        <v/>
      </c>
      <c r="F228" s="22" t="str">
        <f>IF($L228="","",SUMIF($L$5:L228,L228,$G$5:G228)-G228)</f>
        <v/>
      </c>
      <c r="G228" s="22" t="str">
        <f>IF($L228="","",IF($C228&gt;$M228,Overview!$B$26,IFERROR(INDEX(Fields!$F$5:$F$48,MATCH($D228,Fields!$A$5:$A$48,0)),0)))</f>
        <v/>
      </c>
      <c r="H228" s="22" t="str">
        <f t="shared" si="3"/>
        <v/>
      </c>
      <c r="I228" s="21" t="str">
        <f>IF($L228="","",IF($C228&gt;$M228,IF(Overview!$B$26=1,"uint8","uint8["&amp;Overview!$B$26&amp;"]"),IFERROR(INDEX(Fields!$E$5:$E$48,MATCH($D228,Fields!$A$5:$A$48,0)),"MISSING")))</f>
        <v/>
      </c>
      <c r="J228" s="21" t="str">
        <f>IF($L228="","",IF($C228&gt;$M228,"Fixed end-of-frame delimiter, value "&amp;Overview!$B$25&amp;".",IFERROR(INDEX(Fields!$G$5:$G$48,MATCH($D228,Fields!$A$5:$A$48,0)),"MISSING")))</f>
        <v/>
      </c>
      <c r="K228" s="21" t="str">
        <f>IF($L228="","",IF($C228&gt;$M228,"n/a",IFERROR(INDEX(Fields!$H$5:$H$48,MATCH($D228,Fields!$A$5:$A$48,0)),"MISSING")))</f>
        <v/>
      </c>
      <c r="L228" s="23" t="str">
        <f>IF(ROWS($L$5:L228)&gt;MAX('Packet Builder'!$O$5:$O$34),"",COUNTIF('Packet Builder'!$O$5:$O$34,"&lt;"&amp;ROWS($L$5:L228))+1)</f>
        <v/>
      </c>
      <c r="M228" s="23" t="str">
        <f>IF($L228="","",INDEX('Packet Builder'!$F$5:$F$34,$L228))</f>
        <v/>
      </c>
    </row>
    <row r="229" spans="1:13" x14ac:dyDescent="0.35">
      <c r="A229" s="21" t="str">
        <f>IF($L229="","",INDEX('Packet Builder'!$A$5:$A$34,$L229))</f>
        <v/>
      </c>
      <c r="B229" s="21" t="str">
        <f>IF($L229="","",INDEX('Packet Builder'!$B$5:$B$34,$L229))</f>
        <v/>
      </c>
      <c r="C229" s="22" t="str">
        <f>IF($L229="","",ROWS($L$5:L229)-(INDEX('Packet Builder'!$O$5:$O$34,$L229)-$M229-1))</f>
        <v/>
      </c>
      <c r="D229" s="22" t="str">
        <f>IF($L229="","",IF($C229&gt;$M229,"EOF",IFERROR(VALUE(TRIM(MID(SUBSTITUTE(INDEX('Packet Builder'!$P$5:$P$34,$L229),",",REPT(" ",LEN(INDEX('Packet Builder'!$P$5:$P$34,$L229)))),($C229-1)*LEN(INDEX('Packet Builder'!$P$5:$P$34,$L229))+1,LEN(INDEX('Packet Builder'!$P$5:$P$34,$L229))))),"ERR")))</f>
        <v/>
      </c>
      <c r="E229" s="21" t="str">
        <f>IF($L229="","",IF($C229&gt;$M229,"End of Frame Delimiter",IFERROR(INDEX(Fields!$B$5:$B$48,MATCH($D229,Fields!$A$5:$A$48,0)),"MISSING")))</f>
        <v/>
      </c>
      <c r="F229" s="22" t="str">
        <f>IF($L229="","",SUMIF($L$5:L229,L229,$G$5:G229)-G229)</f>
        <v/>
      </c>
      <c r="G229" s="22" t="str">
        <f>IF($L229="","",IF($C229&gt;$M229,Overview!$B$26,IFERROR(INDEX(Fields!$F$5:$F$48,MATCH($D229,Fields!$A$5:$A$48,0)),0)))</f>
        <v/>
      </c>
      <c r="H229" s="22" t="str">
        <f t="shared" si="3"/>
        <v/>
      </c>
      <c r="I229" s="21" t="str">
        <f>IF($L229="","",IF($C229&gt;$M229,IF(Overview!$B$26=1,"uint8","uint8["&amp;Overview!$B$26&amp;"]"),IFERROR(INDEX(Fields!$E$5:$E$48,MATCH($D229,Fields!$A$5:$A$48,0)),"MISSING")))</f>
        <v/>
      </c>
      <c r="J229" s="21" t="str">
        <f>IF($L229="","",IF($C229&gt;$M229,"Fixed end-of-frame delimiter, value "&amp;Overview!$B$25&amp;".",IFERROR(INDEX(Fields!$G$5:$G$48,MATCH($D229,Fields!$A$5:$A$48,0)),"MISSING")))</f>
        <v/>
      </c>
      <c r="K229" s="21" t="str">
        <f>IF($L229="","",IF($C229&gt;$M229,"n/a",IFERROR(INDEX(Fields!$H$5:$H$48,MATCH($D229,Fields!$A$5:$A$48,0)),"MISSING")))</f>
        <v/>
      </c>
      <c r="L229" s="23" t="str">
        <f>IF(ROWS($L$5:L229)&gt;MAX('Packet Builder'!$O$5:$O$34),"",COUNTIF('Packet Builder'!$O$5:$O$34,"&lt;"&amp;ROWS($L$5:L229))+1)</f>
        <v/>
      </c>
      <c r="M229" s="23" t="str">
        <f>IF($L229="","",INDEX('Packet Builder'!$F$5:$F$34,$L229))</f>
        <v/>
      </c>
    </row>
    <row r="230" spans="1:13" x14ac:dyDescent="0.35">
      <c r="A230" s="21" t="str">
        <f>IF($L230="","",INDEX('Packet Builder'!$A$5:$A$34,$L230))</f>
        <v/>
      </c>
      <c r="B230" s="21" t="str">
        <f>IF($L230="","",INDEX('Packet Builder'!$B$5:$B$34,$L230))</f>
        <v/>
      </c>
      <c r="C230" s="22" t="str">
        <f>IF($L230="","",ROWS($L$5:L230)-(INDEX('Packet Builder'!$O$5:$O$34,$L230)-$M230-1))</f>
        <v/>
      </c>
      <c r="D230" s="22" t="str">
        <f>IF($L230="","",IF($C230&gt;$M230,"EOF",IFERROR(VALUE(TRIM(MID(SUBSTITUTE(INDEX('Packet Builder'!$P$5:$P$34,$L230),",",REPT(" ",LEN(INDEX('Packet Builder'!$P$5:$P$34,$L230)))),($C230-1)*LEN(INDEX('Packet Builder'!$P$5:$P$34,$L230))+1,LEN(INDEX('Packet Builder'!$P$5:$P$34,$L230))))),"ERR")))</f>
        <v/>
      </c>
      <c r="E230" s="21" t="str">
        <f>IF($L230="","",IF($C230&gt;$M230,"End of Frame Delimiter",IFERROR(INDEX(Fields!$B$5:$B$48,MATCH($D230,Fields!$A$5:$A$48,0)),"MISSING")))</f>
        <v/>
      </c>
      <c r="F230" s="22" t="str">
        <f>IF($L230="","",SUMIF($L$5:L230,L230,$G$5:G230)-G230)</f>
        <v/>
      </c>
      <c r="G230" s="22" t="str">
        <f>IF($L230="","",IF($C230&gt;$M230,Overview!$B$26,IFERROR(INDEX(Fields!$F$5:$F$48,MATCH($D230,Fields!$A$5:$A$48,0)),0)))</f>
        <v/>
      </c>
      <c r="H230" s="22" t="str">
        <f t="shared" si="3"/>
        <v/>
      </c>
      <c r="I230" s="21" t="str">
        <f>IF($L230="","",IF($C230&gt;$M230,IF(Overview!$B$26=1,"uint8","uint8["&amp;Overview!$B$26&amp;"]"),IFERROR(INDEX(Fields!$E$5:$E$48,MATCH($D230,Fields!$A$5:$A$48,0)),"MISSING")))</f>
        <v/>
      </c>
      <c r="J230" s="21" t="str">
        <f>IF($L230="","",IF($C230&gt;$M230,"Fixed end-of-frame delimiter, value "&amp;Overview!$B$25&amp;".",IFERROR(INDEX(Fields!$G$5:$G$48,MATCH($D230,Fields!$A$5:$A$48,0)),"MISSING")))</f>
        <v/>
      </c>
      <c r="K230" s="21" t="str">
        <f>IF($L230="","",IF($C230&gt;$M230,"n/a",IFERROR(INDEX(Fields!$H$5:$H$48,MATCH($D230,Fields!$A$5:$A$48,0)),"MISSING")))</f>
        <v/>
      </c>
      <c r="L230" s="23" t="str">
        <f>IF(ROWS($L$5:L230)&gt;MAX('Packet Builder'!$O$5:$O$34),"",COUNTIF('Packet Builder'!$O$5:$O$34,"&lt;"&amp;ROWS($L$5:L230))+1)</f>
        <v/>
      </c>
      <c r="M230" s="23" t="str">
        <f>IF($L230="","",INDEX('Packet Builder'!$F$5:$F$34,$L230))</f>
        <v/>
      </c>
    </row>
    <row r="231" spans="1:13" x14ac:dyDescent="0.35">
      <c r="A231" s="21" t="str">
        <f>IF($L231="","",INDEX('Packet Builder'!$A$5:$A$34,$L231))</f>
        <v/>
      </c>
      <c r="B231" s="21" t="str">
        <f>IF($L231="","",INDEX('Packet Builder'!$B$5:$B$34,$L231))</f>
        <v/>
      </c>
      <c r="C231" s="22" t="str">
        <f>IF($L231="","",ROWS($L$5:L231)-(INDEX('Packet Builder'!$O$5:$O$34,$L231)-$M231-1))</f>
        <v/>
      </c>
      <c r="D231" s="22" t="str">
        <f>IF($L231="","",IF($C231&gt;$M231,"EOF",IFERROR(VALUE(TRIM(MID(SUBSTITUTE(INDEX('Packet Builder'!$P$5:$P$34,$L231),",",REPT(" ",LEN(INDEX('Packet Builder'!$P$5:$P$34,$L231)))),($C231-1)*LEN(INDEX('Packet Builder'!$P$5:$P$34,$L231))+1,LEN(INDEX('Packet Builder'!$P$5:$P$34,$L231))))),"ERR")))</f>
        <v/>
      </c>
      <c r="E231" s="21" t="str">
        <f>IF($L231="","",IF($C231&gt;$M231,"End of Frame Delimiter",IFERROR(INDEX(Fields!$B$5:$B$48,MATCH($D231,Fields!$A$5:$A$48,0)),"MISSING")))</f>
        <v/>
      </c>
      <c r="F231" s="22" t="str">
        <f>IF($L231="","",SUMIF($L$5:L231,L231,$G$5:G231)-G231)</f>
        <v/>
      </c>
      <c r="G231" s="22" t="str">
        <f>IF($L231="","",IF($C231&gt;$M231,Overview!$B$26,IFERROR(INDEX(Fields!$F$5:$F$48,MATCH($D231,Fields!$A$5:$A$48,0)),0)))</f>
        <v/>
      </c>
      <c r="H231" s="22" t="str">
        <f t="shared" si="3"/>
        <v/>
      </c>
      <c r="I231" s="21" t="str">
        <f>IF($L231="","",IF($C231&gt;$M231,IF(Overview!$B$26=1,"uint8","uint8["&amp;Overview!$B$26&amp;"]"),IFERROR(INDEX(Fields!$E$5:$E$48,MATCH($D231,Fields!$A$5:$A$48,0)),"MISSING")))</f>
        <v/>
      </c>
      <c r="J231" s="21" t="str">
        <f>IF($L231="","",IF($C231&gt;$M231,"Fixed end-of-frame delimiter, value "&amp;Overview!$B$25&amp;".",IFERROR(INDEX(Fields!$G$5:$G$48,MATCH($D231,Fields!$A$5:$A$48,0)),"MISSING")))</f>
        <v/>
      </c>
      <c r="K231" s="21" t="str">
        <f>IF($L231="","",IF($C231&gt;$M231,"n/a",IFERROR(INDEX(Fields!$H$5:$H$48,MATCH($D231,Fields!$A$5:$A$48,0)),"MISSING")))</f>
        <v/>
      </c>
      <c r="L231" s="23" t="str">
        <f>IF(ROWS($L$5:L231)&gt;MAX('Packet Builder'!$O$5:$O$34),"",COUNTIF('Packet Builder'!$O$5:$O$34,"&lt;"&amp;ROWS($L$5:L231))+1)</f>
        <v/>
      </c>
      <c r="M231" s="23" t="str">
        <f>IF($L231="","",INDEX('Packet Builder'!$F$5:$F$34,$L231))</f>
        <v/>
      </c>
    </row>
    <row r="232" spans="1:13" x14ac:dyDescent="0.35">
      <c r="A232" s="21" t="str">
        <f>IF($L232="","",INDEX('Packet Builder'!$A$5:$A$34,$L232))</f>
        <v/>
      </c>
      <c r="B232" s="21" t="str">
        <f>IF($L232="","",INDEX('Packet Builder'!$B$5:$B$34,$L232))</f>
        <v/>
      </c>
      <c r="C232" s="22" t="str">
        <f>IF($L232="","",ROWS($L$5:L232)-(INDEX('Packet Builder'!$O$5:$O$34,$L232)-$M232-1))</f>
        <v/>
      </c>
      <c r="D232" s="22" t="str">
        <f>IF($L232="","",IF($C232&gt;$M232,"EOF",IFERROR(VALUE(TRIM(MID(SUBSTITUTE(INDEX('Packet Builder'!$P$5:$P$34,$L232),",",REPT(" ",LEN(INDEX('Packet Builder'!$P$5:$P$34,$L232)))),($C232-1)*LEN(INDEX('Packet Builder'!$P$5:$P$34,$L232))+1,LEN(INDEX('Packet Builder'!$P$5:$P$34,$L232))))),"ERR")))</f>
        <v/>
      </c>
      <c r="E232" s="21" t="str">
        <f>IF($L232="","",IF($C232&gt;$M232,"End of Frame Delimiter",IFERROR(INDEX(Fields!$B$5:$B$48,MATCH($D232,Fields!$A$5:$A$48,0)),"MISSING")))</f>
        <v/>
      </c>
      <c r="F232" s="22" t="str">
        <f>IF($L232="","",SUMIF($L$5:L232,L232,$G$5:G232)-G232)</f>
        <v/>
      </c>
      <c r="G232" s="22" t="str">
        <f>IF($L232="","",IF($C232&gt;$M232,Overview!$B$26,IFERROR(INDEX(Fields!$F$5:$F$48,MATCH($D232,Fields!$A$5:$A$48,0)),0)))</f>
        <v/>
      </c>
      <c r="H232" s="22" t="str">
        <f t="shared" si="3"/>
        <v/>
      </c>
      <c r="I232" s="21" t="str">
        <f>IF($L232="","",IF($C232&gt;$M232,IF(Overview!$B$26=1,"uint8","uint8["&amp;Overview!$B$26&amp;"]"),IFERROR(INDEX(Fields!$E$5:$E$48,MATCH($D232,Fields!$A$5:$A$48,0)),"MISSING")))</f>
        <v/>
      </c>
      <c r="J232" s="21" t="str">
        <f>IF($L232="","",IF($C232&gt;$M232,"Fixed end-of-frame delimiter, value "&amp;Overview!$B$25&amp;".",IFERROR(INDEX(Fields!$G$5:$G$48,MATCH($D232,Fields!$A$5:$A$48,0)),"MISSING")))</f>
        <v/>
      </c>
      <c r="K232" s="21" t="str">
        <f>IF($L232="","",IF($C232&gt;$M232,"n/a",IFERROR(INDEX(Fields!$H$5:$H$48,MATCH($D232,Fields!$A$5:$A$48,0)),"MISSING")))</f>
        <v/>
      </c>
      <c r="L232" s="23" t="str">
        <f>IF(ROWS($L$5:L232)&gt;MAX('Packet Builder'!$O$5:$O$34),"",COUNTIF('Packet Builder'!$O$5:$O$34,"&lt;"&amp;ROWS($L$5:L232))+1)</f>
        <v/>
      </c>
      <c r="M232" s="23" t="str">
        <f>IF($L232="","",INDEX('Packet Builder'!$F$5:$F$34,$L232))</f>
        <v/>
      </c>
    </row>
    <row r="233" spans="1:13" x14ac:dyDescent="0.35">
      <c r="A233" s="21" t="str">
        <f>IF($L233="","",INDEX('Packet Builder'!$A$5:$A$34,$L233))</f>
        <v/>
      </c>
      <c r="B233" s="21" t="str">
        <f>IF($L233="","",INDEX('Packet Builder'!$B$5:$B$34,$L233))</f>
        <v/>
      </c>
      <c r="C233" s="22" t="str">
        <f>IF($L233="","",ROWS($L$5:L233)-(INDEX('Packet Builder'!$O$5:$O$34,$L233)-$M233-1))</f>
        <v/>
      </c>
      <c r="D233" s="22" t="str">
        <f>IF($L233="","",IF($C233&gt;$M233,"EOF",IFERROR(VALUE(TRIM(MID(SUBSTITUTE(INDEX('Packet Builder'!$P$5:$P$34,$L233),",",REPT(" ",LEN(INDEX('Packet Builder'!$P$5:$P$34,$L233)))),($C233-1)*LEN(INDEX('Packet Builder'!$P$5:$P$34,$L233))+1,LEN(INDEX('Packet Builder'!$P$5:$P$34,$L233))))),"ERR")))</f>
        <v/>
      </c>
      <c r="E233" s="21" t="str">
        <f>IF($L233="","",IF($C233&gt;$M233,"End of Frame Delimiter",IFERROR(INDEX(Fields!$B$5:$B$48,MATCH($D233,Fields!$A$5:$A$48,0)),"MISSING")))</f>
        <v/>
      </c>
      <c r="F233" s="22" t="str">
        <f>IF($L233="","",SUMIF($L$5:L233,L233,$G$5:G233)-G233)</f>
        <v/>
      </c>
      <c r="G233" s="22" t="str">
        <f>IF($L233="","",IF($C233&gt;$M233,Overview!$B$26,IFERROR(INDEX(Fields!$F$5:$F$48,MATCH($D233,Fields!$A$5:$A$48,0)),0)))</f>
        <v/>
      </c>
      <c r="H233" s="22" t="str">
        <f t="shared" si="3"/>
        <v/>
      </c>
      <c r="I233" s="21" t="str">
        <f>IF($L233="","",IF($C233&gt;$M233,IF(Overview!$B$26=1,"uint8","uint8["&amp;Overview!$B$26&amp;"]"),IFERROR(INDEX(Fields!$E$5:$E$48,MATCH($D233,Fields!$A$5:$A$48,0)),"MISSING")))</f>
        <v/>
      </c>
      <c r="J233" s="21" t="str">
        <f>IF($L233="","",IF($C233&gt;$M233,"Fixed end-of-frame delimiter, value "&amp;Overview!$B$25&amp;".",IFERROR(INDEX(Fields!$G$5:$G$48,MATCH($D233,Fields!$A$5:$A$48,0)),"MISSING")))</f>
        <v/>
      </c>
      <c r="K233" s="21" t="str">
        <f>IF($L233="","",IF($C233&gt;$M233,"n/a",IFERROR(INDEX(Fields!$H$5:$H$48,MATCH($D233,Fields!$A$5:$A$48,0)),"MISSING")))</f>
        <v/>
      </c>
      <c r="L233" s="23" t="str">
        <f>IF(ROWS($L$5:L233)&gt;MAX('Packet Builder'!$O$5:$O$34),"",COUNTIF('Packet Builder'!$O$5:$O$34,"&lt;"&amp;ROWS($L$5:L233))+1)</f>
        <v/>
      </c>
      <c r="M233" s="23" t="str">
        <f>IF($L233="","",INDEX('Packet Builder'!$F$5:$F$34,$L233))</f>
        <v/>
      </c>
    </row>
    <row r="234" spans="1:13" x14ac:dyDescent="0.35">
      <c r="A234" s="21" t="str">
        <f>IF($L234="","",INDEX('Packet Builder'!$A$5:$A$34,$L234))</f>
        <v/>
      </c>
      <c r="B234" s="21" t="str">
        <f>IF($L234="","",INDEX('Packet Builder'!$B$5:$B$34,$L234))</f>
        <v/>
      </c>
      <c r="C234" s="22" t="str">
        <f>IF($L234="","",ROWS($L$5:L234)-(INDEX('Packet Builder'!$O$5:$O$34,$L234)-$M234-1))</f>
        <v/>
      </c>
      <c r="D234" s="22" t="str">
        <f>IF($L234="","",IF($C234&gt;$M234,"EOF",IFERROR(VALUE(TRIM(MID(SUBSTITUTE(INDEX('Packet Builder'!$P$5:$P$34,$L234),",",REPT(" ",LEN(INDEX('Packet Builder'!$P$5:$P$34,$L234)))),($C234-1)*LEN(INDEX('Packet Builder'!$P$5:$P$34,$L234))+1,LEN(INDEX('Packet Builder'!$P$5:$P$34,$L234))))),"ERR")))</f>
        <v/>
      </c>
      <c r="E234" s="21" t="str">
        <f>IF($L234="","",IF($C234&gt;$M234,"End of Frame Delimiter",IFERROR(INDEX(Fields!$B$5:$B$48,MATCH($D234,Fields!$A$5:$A$48,0)),"MISSING")))</f>
        <v/>
      </c>
      <c r="F234" s="22" t="str">
        <f>IF($L234="","",SUMIF($L$5:L234,L234,$G$5:G234)-G234)</f>
        <v/>
      </c>
      <c r="G234" s="22" t="str">
        <f>IF($L234="","",IF($C234&gt;$M234,Overview!$B$26,IFERROR(INDEX(Fields!$F$5:$F$48,MATCH($D234,Fields!$A$5:$A$48,0)),0)))</f>
        <v/>
      </c>
      <c r="H234" s="22" t="str">
        <f t="shared" si="3"/>
        <v/>
      </c>
      <c r="I234" s="21" t="str">
        <f>IF($L234="","",IF($C234&gt;$M234,IF(Overview!$B$26=1,"uint8","uint8["&amp;Overview!$B$26&amp;"]"),IFERROR(INDEX(Fields!$E$5:$E$48,MATCH($D234,Fields!$A$5:$A$48,0)),"MISSING")))</f>
        <v/>
      </c>
      <c r="J234" s="21" t="str">
        <f>IF($L234="","",IF($C234&gt;$M234,"Fixed end-of-frame delimiter, value "&amp;Overview!$B$25&amp;".",IFERROR(INDEX(Fields!$G$5:$G$48,MATCH($D234,Fields!$A$5:$A$48,0)),"MISSING")))</f>
        <v/>
      </c>
      <c r="K234" s="21" t="str">
        <f>IF($L234="","",IF($C234&gt;$M234,"n/a",IFERROR(INDEX(Fields!$H$5:$H$48,MATCH($D234,Fields!$A$5:$A$48,0)),"MISSING")))</f>
        <v/>
      </c>
      <c r="L234" s="23" t="str">
        <f>IF(ROWS($L$5:L234)&gt;MAX('Packet Builder'!$O$5:$O$34),"",COUNTIF('Packet Builder'!$O$5:$O$34,"&lt;"&amp;ROWS($L$5:L234))+1)</f>
        <v/>
      </c>
      <c r="M234" s="23" t="str">
        <f>IF($L234="","",INDEX('Packet Builder'!$F$5:$F$34,$L234))</f>
        <v/>
      </c>
    </row>
    <row r="235" spans="1:13" x14ac:dyDescent="0.35">
      <c r="A235" s="21" t="str">
        <f>IF($L235="","",INDEX('Packet Builder'!$A$5:$A$34,$L235))</f>
        <v/>
      </c>
      <c r="B235" s="21" t="str">
        <f>IF($L235="","",INDEX('Packet Builder'!$B$5:$B$34,$L235))</f>
        <v/>
      </c>
      <c r="C235" s="22" t="str">
        <f>IF($L235="","",ROWS($L$5:L235)-(INDEX('Packet Builder'!$O$5:$O$34,$L235)-$M235-1))</f>
        <v/>
      </c>
      <c r="D235" s="22" t="str">
        <f>IF($L235="","",IF($C235&gt;$M235,"EOF",IFERROR(VALUE(TRIM(MID(SUBSTITUTE(INDEX('Packet Builder'!$P$5:$P$34,$L235),",",REPT(" ",LEN(INDEX('Packet Builder'!$P$5:$P$34,$L235)))),($C235-1)*LEN(INDEX('Packet Builder'!$P$5:$P$34,$L235))+1,LEN(INDEX('Packet Builder'!$P$5:$P$34,$L235))))),"ERR")))</f>
        <v/>
      </c>
      <c r="E235" s="21" t="str">
        <f>IF($L235="","",IF($C235&gt;$M235,"End of Frame Delimiter",IFERROR(INDEX(Fields!$B$5:$B$48,MATCH($D235,Fields!$A$5:$A$48,0)),"MISSING")))</f>
        <v/>
      </c>
      <c r="F235" s="22" t="str">
        <f>IF($L235="","",SUMIF($L$5:L235,L235,$G$5:G235)-G235)</f>
        <v/>
      </c>
      <c r="G235" s="22" t="str">
        <f>IF($L235="","",IF($C235&gt;$M235,Overview!$B$26,IFERROR(INDEX(Fields!$F$5:$F$48,MATCH($D235,Fields!$A$5:$A$48,0)),0)))</f>
        <v/>
      </c>
      <c r="H235" s="22" t="str">
        <f t="shared" si="3"/>
        <v/>
      </c>
      <c r="I235" s="21" t="str">
        <f>IF($L235="","",IF($C235&gt;$M235,IF(Overview!$B$26=1,"uint8","uint8["&amp;Overview!$B$26&amp;"]"),IFERROR(INDEX(Fields!$E$5:$E$48,MATCH($D235,Fields!$A$5:$A$48,0)),"MISSING")))</f>
        <v/>
      </c>
      <c r="J235" s="21" t="str">
        <f>IF($L235="","",IF($C235&gt;$M235,"Fixed end-of-frame delimiter, value "&amp;Overview!$B$25&amp;".",IFERROR(INDEX(Fields!$G$5:$G$48,MATCH($D235,Fields!$A$5:$A$48,0)),"MISSING")))</f>
        <v/>
      </c>
      <c r="K235" s="21" t="str">
        <f>IF($L235="","",IF($C235&gt;$M235,"n/a",IFERROR(INDEX(Fields!$H$5:$H$48,MATCH($D235,Fields!$A$5:$A$48,0)),"MISSING")))</f>
        <v/>
      </c>
      <c r="L235" s="23" t="str">
        <f>IF(ROWS($L$5:L235)&gt;MAX('Packet Builder'!$O$5:$O$34),"",COUNTIF('Packet Builder'!$O$5:$O$34,"&lt;"&amp;ROWS($L$5:L235))+1)</f>
        <v/>
      </c>
      <c r="M235" s="23" t="str">
        <f>IF($L235="","",INDEX('Packet Builder'!$F$5:$F$34,$L235))</f>
        <v/>
      </c>
    </row>
    <row r="236" spans="1:13" x14ac:dyDescent="0.35">
      <c r="A236" s="21" t="str">
        <f>IF($L236="","",INDEX('Packet Builder'!$A$5:$A$34,$L236))</f>
        <v/>
      </c>
      <c r="B236" s="21" t="str">
        <f>IF($L236="","",INDEX('Packet Builder'!$B$5:$B$34,$L236))</f>
        <v/>
      </c>
      <c r="C236" s="22" t="str">
        <f>IF($L236="","",ROWS($L$5:L236)-(INDEX('Packet Builder'!$O$5:$O$34,$L236)-$M236-1))</f>
        <v/>
      </c>
      <c r="D236" s="22" t="str">
        <f>IF($L236="","",IF($C236&gt;$M236,"EOF",IFERROR(VALUE(TRIM(MID(SUBSTITUTE(INDEX('Packet Builder'!$P$5:$P$34,$L236),",",REPT(" ",LEN(INDEX('Packet Builder'!$P$5:$P$34,$L236)))),($C236-1)*LEN(INDEX('Packet Builder'!$P$5:$P$34,$L236))+1,LEN(INDEX('Packet Builder'!$P$5:$P$34,$L236))))),"ERR")))</f>
        <v/>
      </c>
      <c r="E236" s="21" t="str">
        <f>IF($L236="","",IF($C236&gt;$M236,"End of Frame Delimiter",IFERROR(INDEX(Fields!$B$5:$B$48,MATCH($D236,Fields!$A$5:$A$48,0)),"MISSING")))</f>
        <v/>
      </c>
      <c r="F236" s="22" t="str">
        <f>IF($L236="","",SUMIF($L$5:L236,L236,$G$5:G236)-G236)</f>
        <v/>
      </c>
      <c r="G236" s="22" t="str">
        <f>IF($L236="","",IF($C236&gt;$M236,Overview!$B$26,IFERROR(INDEX(Fields!$F$5:$F$48,MATCH($D236,Fields!$A$5:$A$48,0)),0)))</f>
        <v/>
      </c>
      <c r="H236" s="22" t="str">
        <f t="shared" si="3"/>
        <v/>
      </c>
      <c r="I236" s="21" t="str">
        <f>IF($L236="","",IF($C236&gt;$M236,IF(Overview!$B$26=1,"uint8","uint8["&amp;Overview!$B$26&amp;"]"),IFERROR(INDEX(Fields!$E$5:$E$48,MATCH($D236,Fields!$A$5:$A$48,0)),"MISSING")))</f>
        <v/>
      </c>
      <c r="J236" s="21" t="str">
        <f>IF($L236="","",IF($C236&gt;$M236,"Fixed end-of-frame delimiter, value "&amp;Overview!$B$25&amp;".",IFERROR(INDEX(Fields!$G$5:$G$48,MATCH($D236,Fields!$A$5:$A$48,0)),"MISSING")))</f>
        <v/>
      </c>
      <c r="K236" s="21" t="str">
        <f>IF($L236="","",IF($C236&gt;$M236,"n/a",IFERROR(INDEX(Fields!$H$5:$H$48,MATCH($D236,Fields!$A$5:$A$48,0)),"MISSING")))</f>
        <v/>
      </c>
      <c r="L236" s="23" t="str">
        <f>IF(ROWS($L$5:L236)&gt;MAX('Packet Builder'!$O$5:$O$34),"",COUNTIF('Packet Builder'!$O$5:$O$34,"&lt;"&amp;ROWS($L$5:L236))+1)</f>
        <v/>
      </c>
      <c r="M236" s="23" t="str">
        <f>IF($L236="","",INDEX('Packet Builder'!$F$5:$F$34,$L236))</f>
        <v/>
      </c>
    </row>
    <row r="237" spans="1:13" x14ac:dyDescent="0.35">
      <c r="A237" s="21" t="str">
        <f>IF($L237="","",INDEX('Packet Builder'!$A$5:$A$34,$L237))</f>
        <v/>
      </c>
      <c r="B237" s="21" t="str">
        <f>IF($L237="","",INDEX('Packet Builder'!$B$5:$B$34,$L237))</f>
        <v/>
      </c>
      <c r="C237" s="22" t="str">
        <f>IF($L237="","",ROWS($L$5:L237)-(INDEX('Packet Builder'!$O$5:$O$34,$L237)-$M237-1))</f>
        <v/>
      </c>
      <c r="D237" s="22" t="str">
        <f>IF($L237="","",IF($C237&gt;$M237,"EOF",IFERROR(VALUE(TRIM(MID(SUBSTITUTE(INDEX('Packet Builder'!$P$5:$P$34,$L237),",",REPT(" ",LEN(INDEX('Packet Builder'!$P$5:$P$34,$L237)))),($C237-1)*LEN(INDEX('Packet Builder'!$P$5:$P$34,$L237))+1,LEN(INDEX('Packet Builder'!$P$5:$P$34,$L237))))),"ERR")))</f>
        <v/>
      </c>
      <c r="E237" s="21" t="str">
        <f>IF($L237="","",IF($C237&gt;$M237,"End of Frame Delimiter",IFERROR(INDEX(Fields!$B$5:$B$48,MATCH($D237,Fields!$A$5:$A$48,0)),"MISSING")))</f>
        <v/>
      </c>
      <c r="F237" s="22" t="str">
        <f>IF($L237="","",SUMIF($L$5:L237,L237,$G$5:G237)-G237)</f>
        <v/>
      </c>
      <c r="G237" s="22" t="str">
        <f>IF($L237="","",IF($C237&gt;$M237,Overview!$B$26,IFERROR(INDEX(Fields!$F$5:$F$48,MATCH($D237,Fields!$A$5:$A$48,0)),0)))</f>
        <v/>
      </c>
      <c r="H237" s="22" t="str">
        <f t="shared" si="3"/>
        <v/>
      </c>
      <c r="I237" s="21" t="str">
        <f>IF($L237="","",IF($C237&gt;$M237,IF(Overview!$B$26=1,"uint8","uint8["&amp;Overview!$B$26&amp;"]"),IFERROR(INDEX(Fields!$E$5:$E$48,MATCH($D237,Fields!$A$5:$A$48,0)),"MISSING")))</f>
        <v/>
      </c>
      <c r="J237" s="21" t="str">
        <f>IF($L237="","",IF($C237&gt;$M237,"Fixed end-of-frame delimiter, value "&amp;Overview!$B$25&amp;".",IFERROR(INDEX(Fields!$G$5:$G$48,MATCH($D237,Fields!$A$5:$A$48,0)),"MISSING")))</f>
        <v/>
      </c>
      <c r="K237" s="21" t="str">
        <f>IF($L237="","",IF($C237&gt;$M237,"n/a",IFERROR(INDEX(Fields!$H$5:$H$48,MATCH($D237,Fields!$A$5:$A$48,0)),"MISSING")))</f>
        <v/>
      </c>
      <c r="L237" s="23" t="str">
        <f>IF(ROWS($L$5:L237)&gt;MAX('Packet Builder'!$O$5:$O$34),"",COUNTIF('Packet Builder'!$O$5:$O$34,"&lt;"&amp;ROWS($L$5:L237))+1)</f>
        <v/>
      </c>
      <c r="M237" s="23" t="str">
        <f>IF($L237="","",INDEX('Packet Builder'!$F$5:$F$34,$L237))</f>
        <v/>
      </c>
    </row>
    <row r="238" spans="1:13" x14ac:dyDescent="0.35">
      <c r="A238" s="21" t="str">
        <f>IF($L238="","",INDEX('Packet Builder'!$A$5:$A$34,$L238))</f>
        <v/>
      </c>
      <c r="B238" s="21" t="str">
        <f>IF($L238="","",INDEX('Packet Builder'!$B$5:$B$34,$L238))</f>
        <v/>
      </c>
      <c r="C238" s="22" t="str">
        <f>IF($L238="","",ROWS($L$5:L238)-(INDEX('Packet Builder'!$O$5:$O$34,$L238)-$M238-1))</f>
        <v/>
      </c>
      <c r="D238" s="22" t="str">
        <f>IF($L238="","",IF($C238&gt;$M238,"EOF",IFERROR(VALUE(TRIM(MID(SUBSTITUTE(INDEX('Packet Builder'!$P$5:$P$34,$L238),",",REPT(" ",LEN(INDEX('Packet Builder'!$P$5:$P$34,$L238)))),($C238-1)*LEN(INDEX('Packet Builder'!$P$5:$P$34,$L238))+1,LEN(INDEX('Packet Builder'!$P$5:$P$34,$L238))))),"ERR")))</f>
        <v/>
      </c>
      <c r="E238" s="21" t="str">
        <f>IF($L238="","",IF($C238&gt;$M238,"End of Frame Delimiter",IFERROR(INDEX(Fields!$B$5:$B$48,MATCH($D238,Fields!$A$5:$A$48,0)),"MISSING")))</f>
        <v/>
      </c>
      <c r="F238" s="22" t="str">
        <f>IF($L238="","",SUMIF($L$5:L238,L238,$G$5:G238)-G238)</f>
        <v/>
      </c>
      <c r="G238" s="22" t="str">
        <f>IF($L238="","",IF($C238&gt;$M238,Overview!$B$26,IFERROR(INDEX(Fields!$F$5:$F$48,MATCH($D238,Fields!$A$5:$A$48,0)),0)))</f>
        <v/>
      </c>
      <c r="H238" s="22" t="str">
        <f t="shared" si="3"/>
        <v/>
      </c>
      <c r="I238" s="21" t="str">
        <f>IF($L238="","",IF($C238&gt;$M238,IF(Overview!$B$26=1,"uint8","uint8["&amp;Overview!$B$26&amp;"]"),IFERROR(INDEX(Fields!$E$5:$E$48,MATCH($D238,Fields!$A$5:$A$48,0)),"MISSING")))</f>
        <v/>
      </c>
      <c r="J238" s="21" t="str">
        <f>IF($L238="","",IF($C238&gt;$M238,"Fixed end-of-frame delimiter, value "&amp;Overview!$B$25&amp;".",IFERROR(INDEX(Fields!$G$5:$G$48,MATCH($D238,Fields!$A$5:$A$48,0)),"MISSING")))</f>
        <v/>
      </c>
      <c r="K238" s="21" t="str">
        <f>IF($L238="","",IF($C238&gt;$M238,"n/a",IFERROR(INDEX(Fields!$H$5:$H$48,MATCH($D238,Fields!$A$5:$A$48,0)),"MISSING")))</f>
        <v/>
      </c>
      <c r="L238" s="23" t="str">
        <f>IF(ROWS($L$5:L238)&gt;MAX('Packet Builder'!$O$5:$O$34),"",COUNTIF('Packet Builder'!$O$5:$O$34,"&lt;"&amp;ROWS($L$5:L238))+1)</f>
        <v/>
      </c>
      <c r="M238" s="23" t="str">
        <f>IF($L238="","",INDEX('Packet Builder'!$F$5:$F$34,$L238))</f>
        <v/>
      </c>
    </row>
    <row r="239" spans="1:13" x14ac:dyDescent="0.35">
      <c r="A239" s="21" t="str">
        <f>IF($L239="","",INDEX('Packet Builder'!$A$5:$A$34,$L239))</f>
        <v/>
      </c>
      <c r="B239" s="21" t="str">
        <f>IF($L239="","",INDEX('Packet Builder'!$B$5:$B$34,$L239))</f>
        <v/>
      </c>
      <c r="C239" s="22" t="str">
        <f>IF($L239="","",ROWS($L$5:L239)-(INDEX('Packet Builder'!$O$5:$O$34,$L239)-$M239-1))</f>
        <v/>
      </c>
      <c r="D239" s="22" t="str">
        <f>IF($L239="","",IF($C239&gt;$M239,"EOF",IFERROR(VALUE(TRIM(MID(SUBSTITUTE(INDEX('Packet Builder'!$P$5:$P$34,$L239),",",REPT(" ",LEN(INDEX('Packet Builder'!$P$5:$P$34,$L239)))),($C239-1)*LEN(INDEX('Packet Builder'!$P$5:$P$34,$L239))+1,LEN(INDEX('Packet Builder'!$P$5:$P$34,$L239))))),"ERR")))</f>
        <v/>
      </c>
      <c r="E239" s="21" t="str">
        <f>IF($L239="","",IF($C239&gt;$M239,"End of Frame Delimiter",IFERROR(INDEX(Fields!$B$5:$B$48,MATCH($D239,Fields!$A$5:$A$48,0)),"MISSING")))</f>
        <v/>
      </c>
      <c r="F239" s="22" t="str">
        <f>IF($L239="","",SUMIF($L$5:L239,L239,$G$5:G239)-G239)</f>
        <v/>
      </c>
      <c r="G239" s="22" t="str">
        <f>IF($L239="","",IF($C239&gt;$M239,Overview!$B$26,IFERROR(INDEX(Fields!$F$5:$F$48,MATCH($D239,Fields!$A$5:$A$48,0)),0)))</f>
        <v/>
      </c>
      <c r="H239" s="22" t="str">
        <f t="shared" si="3"/>
        <v/>
      </c>
      <c r="I239" s="21" t="str">
        <f>IF($L239="","",IF($C239&gt;$M239,IF(Overview!$B$26=1,"uint8","uint8["&amp;Overview!$B$26&amp;"]"),IFERROR(INDEX(Fields!$E$5:$E$48,MATCH($D239,Fields!$A$5:$A$48,0)),"MISSING")))</f>
        <v/>
      </c>
      <c r="J239" s="21" t="str">
        <f>IF($L239="","",IF($C239&gt;$M239,"Fixed end-of-frame delimiter, value "&amp;Overview!$B$25&amp;".",IFERROR(INDEX(Fields!$G$5:$G$48,MATCH($D239,Fields!$A$5:$A$48,0)),"MISSING")))</f>
        <v/>
      </c>
      <c r="K239" s="21" t="str">
        <f>IF($L239="","",IF($C239&gt;$M239,"n/a",IFERROR(INDEX(Fields!$H$5:$H$48,MATCH($D239,Fields!$A$5:$A$48,0)),"MISSING")))</f>
        <v/>
      </c>
      <c r="L239" s="23" t="str">
        <f>IF(ROWS($L$5:L239)&gt;MAX('Packet Builder'!$O$5:$O$34),"",COUNTIF('Packet Builder'!$O$5:$O$34,"&lt;"&amp;ROWS($L$5:L239))+1)</f>
        <v/>
      </c>
      <c r="M239" s="23" t="str">
        <f>IF($L239="","",INDEX('Packet Builder'!$F$5:$F$34,$L239))</f>
        <v/>
      </c>
    </row>
    <row r="240" spans="1:13" x14ac:dyDescent="0.35">
      <c r="A240" s="21" t="str">
        <f>IF($L240="","",INDEX('Packet Builder'!$A$5:$A$34,$L240))</f>
        <v/>
      </c>
      <c r="B240" s="21" t="str">
        <f>IF($L240="","",INDEX('Packet Builder'!$B$5:$B$34,$L240))</f>
        <v/>
      </c>
      <c r="C240" s="22" t="str">
        <f>IF($L240="","",ROWS($L$5:L240)-(INDEX('Packet Builder'!$O$5:$O$34,$L240)-$M240-1))</f>
        <v/>
      </c>
      <c r="D240" s="22" t="str">
        <f>IF($L240="","",IF($C240&gt;$M240,"EOF",IFERROR(VALUE(TRIM(MID(SUBSTITUTE(INDEX('Packet Builder'!$P$5:$P$34,$L240),",",REPT(" ",LEN(INDEX('Packet Builder'!$P$5:$P$34,$L240)))),($C240-1)*LEN(INDEX('Packet Builder'!$P$5:$P$34,$L240))+1,LEN(INDEX('Packet Builder'!$P$5:$P$34,$L240))))),"ERR")))</f>
        <v/>
      </c>
      <c r="E240" s="21" t="str">
        <f>IF($L240="","",IF($C240&gt;$M240,"End of Frame Delimiter",IFERROR(INDEX(Fields!$B$5:$B$48,MATCH($D240,Fields!$A$5:$A$48,0)),"MISSING")))</f>
        <v/>
      </c>
      <c r="F240" s="22" t="str">
        <f>IF($L240="","",SUMIF($L$5:L240,L240,$G$5:G240)-G240)</f>
        <v/>
      </c>
      <c r="G240" s="22" t="str">
        <f>IF($L240="","",IF($C240&gt;$M240,Overview!$B$26,IFERROR(INDEX(Fields!$F$5:$F$48,MATCH($D240,Fields!$A$5:$A$48,0)),0)))</f>
        <v/>
      </c>
      <c r="H240" s="22" t="str">
        <f t="shared" si="3"/>
        <v/>
      </c>
      <c r="I240" s="21" t="str">
        <f>IF($L240="","",IF($C240&gt;$M240,IF(Overview!$B$26=1,"uint8","uint8["&amp;Overview!$B$26&amp;"]"),IFERROR(INDEX(Fields!$E$5:$E$48,MATCH($D240,Fields!$A$5:$A$48,0)),"MISSING")))</f>
        <v/>
      </c>
      <c r="J240" s="21" t="str">
        <f>IF($L240="","",IF($C240&gt;$M240,"Fixed end-of-frame delimiter, value "&amp;Overview!$B$25&amp;".",IFERROR(INDEX(Fields!$G$5:$G$48,MATCH($D240,Fields!$A$5:$A$48,0)),"MISSING")))</f>
        <v/>
      </c>
      <c r="K240" s="21" t="str">
        <f>IF($L240="","",IF($C240&gt;$M240,"n/a",IFERROR(INDEX(Fields!$H$5:$H$48,MATCH($D240,Fields!$A$5:$A$48,0)),"MISSING")))</f>
        <v/>
      </c>
      <c r="L240" s="23" t="str">
        <f>IF(ROWS($L$5:L240)&gt;MAX('Packet Builder'!$O$5:$O$34),"",COUNTIF('Packet Builder'!$O$5:$O$34,"&lt;"&amp;ROWS($L$5:L240))+1)</f>
        <v/>
      </c>
      <c r="M240" s="23" t="str">
        <f>IF($L240="","",INDEX('Packet Builder'!$F$5:$F$34,$L240))</f>
        <v/>
      </c>
    </row>
    <row r="241" spans="1:13" x14ac:dyDescent="0.35">
      <c r="A241" s="21" t="str">
        <f>IF($L241="","",INDEX('Packet Builder'!$A$5:$A$34,$L241))</f>
        <v/>
      </c>
      <c r="B241" s="21" t="str">
        <f>IF($L241="","",INDEX('Packet Builder'!$B$5:$B$34,$L241))</f>
        <v/>
      </c>
      <c r="C241" s="22" t="str">
        <f>IF($L241="","",ROWS($L$5:L241)-(INDEX('Packet Builder'!$O$5:$O$34,$L241)-$M241-1))</f>
        <v/>
      </c>
      <c r="D241" s="22" t="str">
        <f>IF($L241="","",IF($C241&gt;$M241,"EOF",IFERROR(VALUE(TRIM(MID(SUBSTITUTE(INDEX('Packet Builder'!$P$5:$P$34,$L241),",",REPT(" ",LEN(INDEX('Packet Builder'!$P$5:$P$34,$L241)))),($C241-1)*LEN(INDEX('Packet Builder'!$P$5:$P$34,$L241))+1,LEN(INDEX('Packet Builder'!$P$5:$P$34,$L241))))),"ERR")))</f>
        <v/>
      </c>
      <c r="E241" s="21" t="str">
        <f>IF($L241="","",IF($C241&gt;$M241,"End of Frame Delimiter",IFERROR(INDEX(Fields!$B$5:$B$48,MATCH($D241,Fields!$A$5:$A$48,0)),"MISSING")))</f>
        <v/>
      </c>
      <c r="F241" s="22" t="str">
        <f>IF($L241="","",SUMIF($L$5:L241,L241,$G$5:G241)-G241)</f>
        <v/>
      </c>
      <c r="G241" s="22" t="str">
        <f>IF($L241="","",IF($C241&gt;$M241,Overview!$B$26,IFERROR(INDEX(Fields!$F$5:$F$48,MATCH($D241,Fields!$A$5:$A$48,0)),0)))</f>
        <v/>
      </c>
      <c r="H241" s="22" t="str">
        <f t="shared" si="3"/>
        <v/>
      </c>
      <c r="I241" s="21" t="str">
        <f>IF($L241="","",IF($C241&gt;$M241,IF(Overview!$B$26=1,"uint8","uint8["&amp;Overview!$B$26&amp;"]"),IFERROR(INDEX(Fields!$E$5:$E$48,MATCH($D241,Fields!$A$5:$A$48,0)),"MISSING")))</f>
        <v/>
      </c>
      <c r="J241" s="21" t="str">
        <f>IF($L241="","",IF($C241&gt;$M241,"Fixed end-of-frame delimiter, value "&amp;Overview!$B$25&amp;".",IFERROR(INDEX(Fields!$G$5:$G$48,MATCH($D241,Fields!$A$5:$A$48,0)),"MISSING")))</f>
        <v/>
      </c>
      <c r="K241" s="21" t="str">
        <f>IF($L241="","",IF($C241&gt;$M241,"n/a",IFERROR(INDEX(Fields!$H$5:$H$48,MATCH($D241,Fields!$A$5:$A$48,0)),"MISSING")))</f>
        <v/>
      </c>
      <c r="L241" s="23" t="str">
        <f>IF(ROWS($L$5:L241)&gt;MAX('Packet Builder'!$O$5:$O$34),"",COUNTIF('Packet Builder'!$O$5:$O$34,"&lt;"&amp;ROWS($L$5:L241))+1)</f>
        <v/>
      </c>
      <c r="M241" s="23" t="str">
        <f>IF($L241="","",INDEX('Packet Builder'!$F$5:$F$34,$L241))</f>
        <v/>
      </c>
    </row>
    <row r="242" spans="1:13" x14ac:dyDescent="0.35">
      <c r="A242" s="21" t="str">
        <f>IF($L242="","",INDEX('Packet Builder'!$A$5:$A$34,$L242))</f>
        <v/>
      </c>
      <c r="B242" s="21" t="str">
        <f>IF($L242="","",INDEX('Packet Builder'!$B$5:$B$34,$L242))</f>
        <v/>
      </c>
      <c r="C242" s="22" t="str">
        <f>IF($L242="","",ROWS($L$5:L242)-(INDEX('Packet Builder'!$O$5:$O$34,$L242)-$M242-1))</f>
        <v/>
      </c>
      <c r="D242" s="22" t="str">
        <f>IF($L242="","",IF($C242&gt;$M242,"EOF",IFERROR(VALUE(TRIM(MID(SUBSTITUTE(INDEX('Packet Builder'!$P$5:$P$34,$L242),",",REPT(" ",LEN(INDEX('Packet Builder'!$P$5:$P$34,$L242)))),($C242-1)*LEN(INDEX('Packet Builder'!$P$5:$P$34,$L242))+1,LEN(INDEX('Packet Builder'!$P$5:$P$34,$L242))))),"ERR")))</f>
        <v/>
      </c>
      <c r="E242" s="21" t="str">
        <f>IF($L242="","",IF($C242&gt;$M242,"End of Frame Delimiter",IFERROR(INDEX(Fields!$B$5:$B$48,MATCH($D242,Fields!$A$5:$A$48,0)),"MISSING")))</f>
        <v/>
      </c>
      <c r="F242" s="22" t="str">
        <f>IF($L242="","",SUMIF($L$5:L242,L242,$G$5:G242)-G242)</f>
        <v/>
      </c>
      <c r="G242" s="22" t="str">
        <f>IF($L242="","",IF($C242&gt;$M242,Overview!$B$26,IFERROR(INDEX(Fields!$F$5:$F$48,MATCH($D242,Fields!$A$5:$A$48,0)),0)))</f>
        <v/>
      </c>
      <c r="H242" s="22" t="str">
        <f t="shared" si="3"/>
        <v/>
      </c>
      <c r="I242" s="21" t="str">
        <f>IF($L242="","",IF($C242&gt;$M242,IF(Overview!$B$26=1,"uint8","uint8["&amp;Overview!$B$26&amp;"]"),IFERROR(INDEX(Fields!$E$5:$E$48,MATCH($D242,Fields!$A$5:$A$48,0)),"MISSING")))</f>
        <v/>
      </c>
      <c r="J242" s="21" t="str">
        <f>IF($L242="","",IF($C242&gt;$M242,"Fixed end-of-frame delimiter, value "&amp;Overview!$B$25&amp;".",IFERROR(INDEX(Fields!$G$5:$G$48,MATCH($D242,Fields!$A$5:$A$48,0)),"MISSING")))</f>
        <v/>
      </c>
      <c r="K242" s="21" t="str">
        <f>IF($L242="","",IF($C242&gt;$M242,"n/a",IFERROR(INDEX(Fields!$H$5:$H$48,MATCH($D242,Fields!$A$5:$A$48,0)),"MISSING")))</f>
        <v/>
      </c>
      <c r="L242" s="23" t="str">
        <f>IF(ROWS($L$5:L242)&gt;MAX('Packet Builder'!$O$5:$O$34),"",COUNTIF('Packet Builder'!$O$5:$O$34,"&lt;"&amp;ROWS($L$5:L242))+1)</f>
        <v/>
      </c>
      <c r="M242" s="23" t="str">
        <f>IF($L242="","",INDEX('Packet Builder'!$F$5:$F$34,$L242))</f>
        <v/>
      </c>
    </row>
    <row r="243" spans="1:13" x14ac:dyDescent="0.35">
      <c r="A243" s="21" t="str">
        <f>IF($L243="","",INDEX('Packet Builder'!$A$5:$A$34,$L243))</f>
        <v/>
      </c>
      <c r="B243" s="21" t="str">
        <f>IF($L243="","",INDEX('Packet Builder'!$B$5:$B$34,$L243))</f>
        <v/>
      </c>
      <c r="C243" s="22" t="str">
        <f>IF($L243="","",ROWS($L$5:L243)-(INDEX('Packet Builder'!$O$5:$O$34,$L243)-$M243-1))</f>
        <v/>
      </c>
      <c r="D243" s="22" t="str">
        <f>IF($L243="","",IF($C243&gt;$M243,"EOF",IFERROR(VALUE(TRIM(MID(SUBSTITUTE(INDEX('Packet Builder'!$P$5:$P$34,$L243),",",REPT(" ",LEN(INDEX('Packet Builder'!$P$5:$P$34,$L243)))),($C243-1)*LEN(INDEX('Packet Builder'!$P$5:$P$34,$L243))+1,LEN(INDEX('Packet Builder'!$P$5:$P$34,$L243))))),"ERR")))</f>
        <v/>
      </c>
      <c r="E243" s="21" t="str">
        <f>IF($L243="","",IF($C243&gt;$M243,"End of Frame Delimiter",IFERROR(INDEX(Fields!$B$5:$B$48,MATCH($D243,Fields!$A$5:$A$48,0)),"MISSING")))</f>
        <v/>
      </c>
      <c r="F243" s="22" t="str">
        <f>IF($L243="","",SUMIF($L$5:L243,L243,$G$5:G243)-G243)</f>
        <v/>
      </c>
      <c r="G243" s="22" t="str">
        <f>IF($L243="","",IF($C243&gt;$M243,Overview!$B$26,IFERROR(INDEX(Fields!$F$5:$F$48,MATCH($D243,Fields!$A$5:$A$48,0)),0)))</f>
        <v/>
      </c>
      <c r="H243" s="22" t="str">
        <f t="shared" si="3"/>
        <v/>
      </c>
      <c r="I243" s="21" t="str">
        <f>IF($L243="","",IF($C243&gt;$M243,IF(Overview!$B$26=1,"uint8","uint8["&amp;Overview!$B$26&amp;"]"),IFERROR(INDEX(Fields!$E$5:$E$48,MATCH($D243,Fields!$A$5:$A$48,0)),"MISSING")))</f>
        <v/>
      </c>
      <c r="J243" s="21" t="str">
        <f>IF($L243="","",IF($C243&gt;$M243,"Fixed end-of-frame delimiter, value "&amp;Overview!$B$25&amp;".",IFERROR(INDEX(Fields!$G$5:$G$48,MATCH($D243,Fields!$A$5:$A$48,0)),"MISSING")))</f>
        <v/>
      </c>
      <c r="K243" s="21" t="str">
        <f>IF($L243="","",IF($C243&gt;$M243,"n/a",IFERROR(INDEX(Fields!$H$5:$H$48,MATCH($D243,Fields!$A$5:$A$48,0)),"MISSING")))</f>
        <v/>
      </c>
      <c r="L243" s="23" t="str">
        <f>IF(ROWS($L$5:L243)&gt;MAX('Packet Builder'!$O$5:$O$34),"",COUNTIF('Packet Builder'!$O$5:$O$34,"&lt;"&amp;ROWS($L$5:L243))+1)</f>
        <v/>
      </c>
      <c r="M243" s="23" t="str">
        <f>IF($L243="","",INDEX('Packet Builder'!$F$5:$F$34,$L243))</f>
        <v/>
      </c>
    </row>
    <row r="244" spans="1:13" x14ac:dyDescent="0.35">
      <c r="A244" s="21" t="str">
        <f>IF($L244="","",INDEX('Packet Builder'!$A$5:$A$34,$L244))</f>
        <v/>
      </c>
      <c r="B244" s="21" t="str">
        <f>IF($L244="","",INDEX('Packet Builder'!$B$5:$B$34,$L244))</f>
        <v/>
      </c>
      <c r="C244" s="22" t="str">
        <f>IF($L244="","",ROWS($L$5:L244)-(INDEX('Packet Builder'!$O$5:$O$34,$L244)-$M244-1))</f>
        <v/>
      </c>
      <c r="D244" s="22" t="str">
        <f>IF($L244="","",IF($C244&gt;$M244,"EOF",IFERROR(VALUE(TRIM(MID(SUBSTITUTE(INDEX('Packet Builder'!$P$5:$P$34,$L244),",",REPT(" ",LEN(INDEX('Packet Builder'!$P$5:$P$34,$L244)))),($C244-1)*LEN(INDEX('Packet Builder'!$P$5:$P$34,$L244))+1,LEN(INDEX('Packet Builder'!$P$5:$P$34,$L244))))),"ERR")))</f>
        <v/>
      </c>
      <c r="E244" s="21" t="str">
        <f>IF($L244="","",IF($C244&gt;$M244,"End of Frame Delimiter",IFERROR(INDEX(Fields!$B$5:$B$48,MATCH($D244,Fields!$A$5:$A$48,0)),"MISSING")))</f>
        <v/>
      </c>
      <c r="F244" s="22" t="str">
        <f>IF($L244="","",SUMIF($L$5:L244,L244,$G$5:G244)-G244)</f>
        <v/>
      </c>
      <c r="G244" s="22" t="str">
        <f>IF($L244="","",IF($C244&gt;$M244,Overview!$B$26,IFERROR(INDEX(Fields!$F$5:$F$48,MATCH($D244,Fields!$A$5:$A$48,0)),0)))</f>
        <v/>
      </c>
      <c r="H244" s="22" t="str">
        <f t="shared" si="3"/>
        <v/>
      </c>
      <c r="I244" s="21" t="str">
        <f>IF($L244="","",IF($C244&gt;$M244,IF(Overview!$B$26=1,"uint8","uint8["&amp;Overview!$B$26&amp;"]"),IFERROR(INDEX(Fields!$E$5:$E$48,MATCH($D244,Fields!$A$5:$A$48,0)),"MISSING")))</f>
        <v/>
      </c>
      <c r="J244" s="21" t="str">
        <f>IF($L244="","",IF($C244&gt;$M244,"Fixed end-of-frame delimiter, value "&amp;Overview!$B$25&amp;".",IFERROR(INDEX(Fields!$G$5:$G$48,MATCH($D244,Fields!$A$5:$A$48,0)),"MISSING")))</f>
        <v/>
      </c>
      <c r="K244" s="21" t="str">
        <f>IF($L244="","",IF($C244&gt;$M244,"n/a",IFERROR(INDEX(Fields!$H$5:$H$48,MATCH($D244,Fields!$A$5:$A$48,0)),"MISSING")))</f>
        <v/>
      </c>
      <c r="L244" s="23" t="str">
        <f>IF(ROWS($L$5:L244)&gt;MAX('Packet Builder'!$O$5:$O$34),"",COUNTIF('Packet Builder'!$O$5:$O$34,"&lt;"&amp;ROWS($L$5:L244))+1)</f>
        <v/>
      </c>
      <c r="M244" s="23" t="str">
        <f>IF($L244="","",INDEX('Packet Builder'!$F$5:$F$34,$L244))</f>
        <v/>
      </c>
    </row>
    <row r="245" spans="1:13" x14ac:dyDescent="0.35">
      <c r="A245" s="21" t="str">
        <f>IF($L245="","",INDEX('Packet Builder'!$A$5:$A$34,$L245))</f>
        <v/>
      </c>
      <c r="B245" s="21" t="str">
        <f>IF($L245="","",INDEX('Packet Builder'!$B$5:$B$34,$L245))</f>
        <v/>
      </c>
      <c r="C245" s="22" t="str">
        <f>IF($L245="","",ROWS($L$5:L245)-(INDEX('Packet Builder'!$O$5:$O$34,$L245)-$M245-1))</f>
        <v/>
      </c>
      <c r="D245" s="22" t="str">
        <f>IF($L245="","",IF($C245&gt;$M245,"EOF",IFERROR(VALUE(TRIM(MID(SUBSTITUTE(INDEX('Packet Builder'!$P$5:$P$34,$L245),",",REPT(" ",LEN(INDEX('Packet Builder'!$P$5:$P$34,$L245)))),($C245-1)*LEN(INDEX('Packet Builder'!$P$5:$P$34,$L245))+1,LEN(INDEX('Packet Builder'!$P$5:$P$34,$L245))))),"ERR")))</f>
        <v/>
      </c>
      <c r="E245" s="21" t="str">
        <f>IF($L245="","",IF($C245&gt;$M245,"End of Frame Delimiter",IFERROR(INDEX(Fields!$B$5:$B$48,MATCH($D245,Fields!$A$5:$A$48,0)),"MISSING")))</f>
        <v/>
      </c>
      <c r="F245" s="22" t="str">
        <f>IF($L245="","",SUMIF($L$5:L245,L245,$G$5:G245)-G245)</f>
        <v/>
      </c>
      <c r="G245" s="22" t="str">
        <f>IF($L245="","",IF($C245&gt;$M245,Overview!$B$26,IFERROR(INDEX(Fields!$F$5:$F$48,MATCH($D245,Fields!$A$5:$A$48,0)),0)))</f>
        <v/>
      </c>
      <c r="H245" s="22" t="str">
        <f t="shared" si="3"/>
        <v/>
      </c>
      <c r="I245" s="21" t="str">
        <f>IF($L245="","",IF($C245&gt;$M245,IF(Overview!$B$26=1,"uint8","uint8["&amp;Overview!$B$26&amp;"]"),IFERROR(INDEX(Fields!$E$5:$E$48,MATCH($D245,Fields!$A$5:$A$48,0)),"MISSING")))</f>
        <v/>
      </c>
      <c r="J245" s="21" t="str">
        <f>IF($L245="","",IF($C245&gt;$M245,"Fixed end-of-frame delimiter, value "&amp;Overview!$B$25&amp;".",IFERROR(INDEX(Fields!$G$5:$G$48,MATCH($D245,Fields!$A$5:$A$48,0)),"MISSING")))</f>
        <v/>
      </c>
      <c r="K245" s="21" t="str">
        <f>IF($L245="","",IF($C245&gt;$M245,"n/a",IFERROR(INDEX(Fields!$H$5:$H$48,MATCH($D245,Fields!$A$5:$A$48,0)),"MISSING")))</f>
        <v/>
      </c>
      <c r="L245" s="23" t="str">
        <f>IF(ROWS($L$5:L245)&gt;MAX('Packet Builder'!$O$5:$O$34),"",COUNTIF('Packet Builder'!$O$5:$O$34,"&lt;"&amp;ROWS($L$5:L245))+1)</f>
        <v/>
      </c>
      <c r="M245" s="23" t="str">
        <f>IF($L245="","",INDEX('Packet Builder'!$F$5:$F$34,$L245))</f>
        <v/>
      </c>
    </row>
    <row r="246" spans="1:13" x14ac:dyDescent="0.35">
      <c r="A246" s="21" t="str">
        <f>IF($L246="","",INDEX('Packet Builder'!$A$5:$A$34,$L246))</f>
        <v/>
      </c>
      <c r="B246" s="21" t="str">
        <f>IF($L246="","",INDEX('Packet Builder'!$B$5:$B$34,$L246))</f>
        <v/>
      </c>
      <c r="C246" s="22" t="str">
        <f>IF($L246="","",ROWS($L$5:L246)-(INDEX('Packet Builder'!$O$5:$O$34,$L246)-$M246-1))</f>
        <v/>
      </c>
      <c r="D246" s="22" t="str">
        <f>IF($L246="","",IF($C246&gt;$M246,"EOF",IFERROR(VALUE(TRIM(MID(SUBSTITUTE(INDEX('Packet Builder'!$P$5:$P$34,$L246),",",REPT(" ",LEN(INDEX('Packet Builder'!$P$5:$P$34,$L246)))),($C246-1)*LEN(INDEX('Packet Builder'!$P$5:$P$34,$L246))+1,LEN(INDEX('Packet Builder'!$P$5:$P$34,$L246))))),"ERR")))</f>
        <v/>
      </c>
      <c r="E246" s="21" t="str">
        <f>IF($L246="","",IF($C246&gt;$M246,"End of Frame Delimiter",IFERROR(INDEX(Fields!$B$5:$B$48,MATCH($D246,Fields!$A$5:$A$48,0)),"MISSING")))</f>
        <v/>
      </c>
      <c r="F246" s="22" t="str">
        <f>IF($L246="","",SUMIF($L$5:L246,L246,$G$5:G246)-G246)</f>
        <v/>
      </c>
      <c r="G246" s="22" t="str">
        <f>IF($L246="","",IF($C246&gt;$M246,Overview!$B$26,IFERROR(INDEX(Fields!$F$5:$F$48,MATCH($D246,Fields!$A$5:$A$48,0)),0)))</f>
        <v/>
      </c>
      <c r="H246" s="22" t="str">
        <f t="shared" si="3"/>
        <v/>
      </c>
      <c r="I246" s="21" t="str">
        <f>IF($L246="","",IF($C246&gt;$M246,IF(Overview!$B$26=1,"uint8","uint8["&amp;Overview!$B$26&amp;"]"),IFERROR(INDEX(Fields!$E$5:$E$48,MATCH($D246,Fields!$A$5:$A$48,0)),"MISSING")))</f>
        <v/>
      </c>
      <c r="J246" s="21" t="str">
        <f>IF($L246="","",IF($C246&gt;$M246,"Fixed end-of-frame delimiter, value "&amp;Overview!$B$25&amp;".",IFERROR(INDEX(Fields!$G$5:$G$48,MATCH($D246,Fields!$A$5:$A$48,0)),"MISSING")))</f>
        <v/>
      </c>
      <c r="K246" s="21" t="str">
        <f>IF($L246="","",IF($C246&gt;$M246,"n/a",IFERROR(INDEX(Fields!$H$5:$H$48,MATCH($D246,Fields!$A$5:$A$48,0)),"MISSING")))</f>
        <v/>
      </c>
      <c r="L246" s="23" t="str">
        <f>IF(ROWS($L$5:L246)&gt;MAX('Packet Builder'!$O$5:$O$34),"",COUNTIF('Packet Builder'!$O$5:$O$34,"&lt;"&amp;ROWS($L$5:L246))+1)</f>
        <v/>
      </c>
      <c r="M246" s="23" t="str">
        <f>IF($L246="","",INDEX('Packet Builder'!$F$5:$F$34,$L246))</f>
        <v/>
      </c>
    </row>
    <row r="247" spans="1:13" x14ac:dyDescent="0.35">
      <c r="A247" s="21" t="str">
        <f>IF($L247="","",INDEX('Packet Builder'!$A$5:$A$34,$L247))</f>
        <v/>
      </c>
      <c r="B247" s="21" t="str">
        <f>IF($L247="","",INDEX('Packet Builder'!$B$5:$B$34,$L247))</f>
        <v/>
      </c>
      <c r="C247" s="22" t="str">
        <f>IF($L247="","",ROWS($L$5:L247)-(INDEX('Packet Builder'!$O$5:$O$34,$L247)-$M247-1))</f>
        <v/>
      </c>
      <c r="D247" s="22" t="str">
        <f>IF($L247="","",IF($C247&gt;$M247,"EOF",IFERROR(VALUE(TRIM(MID(SUBSTITUTE(INDEX('Packet Builder'!$P$5:$P$34,$L247),",",REPT(" ",LEN(INDEX('Packet Builder'!$P$5:$P$34,$L247)))),($C247-1)*LEN(INDEX('Packet Builder'!$P$5:$P$34,$L247))+1,LEN(INDEX('Packet Builder'!$P$5:$P$34,$L247))))),"ERR")))</f>
        <v/>
      </c>
      <c r="E247" s="21" t="str">
        <f>IF($L247="","",IF($C247&gt;$M247,"End of Frame Delimiter",IFERROR(INDEX(Fields!$B$5:$B$48,MATCH($D247,Fields!$A$5:$A$48,0)),"MISSING")))</f>
        <v/>
      </c>
      <c r="F247" s="22" t="str">
        <f>IF($L247="","",SUMIF($L$5:L247,L247,$G$5:G247)-G247)</f>
        <v/>
      </c>
      <c r="G247" s="22" t="str">
        <f>IF($L247="","",IF($C247&gt;$M247,Overview!$B$26,IFERROR(INDEX(Fields!$F$5:$F$48,MATCH($D247,Fields!$A$5:$A$48,0)),0)))</f>
        <v/>
      </c>
      <c r="H247" s="22" t="str">
        <f t="shared" si="3"/>
        <v/>
      </c>
      <c r="I247" s="21" t="str">
        <f>IF($L247="","",IF($C247&gt;$M247,IF(Overview!$B$26=1,"uint8","uint8["&amp;Overview!$B$26&amp;"]"),IFERROR(INDEX(Fields!$E$5:$E$48,MATCH($D247,Fields!$A$5:$A$48,0)),"MISSING")))</f>
        <v/>
      </c>
      <c r="J247" s="21" t="str">
        <f>IF($L247="","",IF($C247&gt;$M247,"Fixed end-of-frame delimiter, value "&amp;Overview!$B$25&amp;".",IFERROR(INDEX(Fields!$G$5:$G$48,MATCH($D247,Fields!$A$5:$A$48,0)),"MISSING")))</f>
        <v/>
      </c>
      <c r="K247" s="21" t="str">
        <f>IF($L247="","",IF($C247&gt;$M247,"n/a",IFERROR(INDEX(Fields!$H$5:$H$48,MATCH($D247,Fields!$A$5:$A$48,0)),"MISSING")))</f>
        <v/>
      </c>
      <c r="L247" s="23" t="str">
        <f>IF(ROWS($L$5:L247)&gt;MAX('Packet Builder'!$O$5:$O$34),"",COUNTIF('Packet Builder'!$O$5:$O$34,"&lt;"&amp;ROWS($L$5:L247))+1)</f>
        <v/>
      </c>
      <c r="M247" s="23" t="str">
        <f>IF($L247="","",INDEX('Packet Builder'!$F$5:$F$34,$L247))</f>
        <v/>
      </c>
    </row>
    <row r="248" spans="1:13" x14ac:dyDescent="0.35">
      <c r="A248" s="21" t="str">
        <f>IF($L248="","",INDEX('Packet Builder'!$A$5:$A$34,$L248))</f>
        <v/>
      </c>
      <c r="B248" s="21" t="str">
        <f>IF($L248="","",INDEX('Packet Builder'!$B$5:$B$34,$L248))</f>
        <v/>
      </c>
      <c r="C248" s="22" t="str">
        <f>IF($L248="","",ROWS($L$5:L248)-(INDEX('Packet Builder'!$O$5:$O$34,$L248)-$M248-1))</f>
        <v/>
      </c>
      <c r="D248" s="22" t="str">
        <f>IF($L248="","",IF($C248&gt;$M248,"EOF",IFERROR(VALUE(TRIM(MID(SUBSTITUTE(INDEX('Packet Builder'!$P$5:$P$34,$L248),",",REPT(" ",LEN(INDEX('Packet Builder'!$P$5:$P$34,$L248)))),($C248-1)*LEN(INDEX('Packet Builder'!$P$5:$P$34,$L248))+1,LEN(INDEX('Packet Builder'!$P$5:$P$34,$L248))))),"ERR")))</f>
        <v/>
      </c>
      <c r="E248" s="21" t="str">
        <f>IF($L248="","",IF($C248&gt;$M248,"End of Frame Delimiter",IFERROR(INDEX(Fields!$B$5:$B$48,MATCH($D248,Fields!$A$5:$A$48,0)),"MISSING")))</f>
        <v/>
      </c>
      <c r="F248" s="22" t="str">
        <f>IF($L248="","",SUMIF($L$5:L248,L248,$G$5:G248)-G248)</f>
        <v/>
      </c>
      <c r="G248" s="22" t="str">
        <f>IF($L248="","",IF($C248&gt;$M248,Overview!$B$26,IFERROR(INDEX(Fields!$F$5:$F$48,MATCH($D248,Fields!$A$5:$A$48,0)),0)))</f>
        <v/>
      </c>
      <c r="H248" s="22" t="str">
        <f t="shared" si="3"/>
        <v/>
      </c>
      <c r="I248" s="21" t="str">
        <f>IF($L248="","",IF($C248&gt;$M248,IF(Overview!$B$26=1,"uint8","uint8["&amp;Overview!$B$26&amp;"]"),IFERROR(INDEX(Fields!$E$5:$E$48,MATCH($D248,Fields!$A$5:$A$48,0)),"MISSING")))</f>
        <v/>
      </c>
      <c r="J248" s="21" t="str">
        <f>IF($L248="","",IF($C248&gt;$M248,"Fixed end-of-frame delimiter, value "&amp;Overview!$B$25&amp;".",IFERROR(INDEX(Fields!$G$5:$G$48,MATCH($D248,Fields!$A$5:$A$48,0)),"MISSING")))</f>
        <v/>
      </c>
      <c r="K248" s="21" t="str">
        <f>IF($L248="","",IF($C248&gt;$M248,"n/a",IFERROR(INDEX(Fields!$H$5:$H$48,MATCH($D248,Fields!$A$5:$A$48,0)),"MISSING")))</f>
        <v/>
      </c>
      <c r="L248" s="23" t="str">
        <f>IF(ROWS($L$5:L248)&gt;MAX('Packet Builder'!$O$5:$O$34),"",COUNTIF('Packet Builder'!$O$5:$O$34,"&lt;"&amp;ROWS($L$5:L248))+1)</f>
        <v/>
      </c>
      <c r="M248" s="23" t="str">
        <f>IF($L248="","",INDEX('Packet Builder'!$F$5:$F$34,$L248))</f>
        <v/>
      </c>
    </row>
    <row r="249" spans="1:13" x14ac:dyDescent="0.35">
      <c r="A249" s="21" t="str">
        <f>IF($L249="","",INDEX('Packet Builder'!$A$5:$A$34,$L249))</f>
        <v/>
      </c>
      <c r="B249" s="21" t="str">
        <f>IF($L249="","",INDEX('Packet Builder'!$B$5:$B$34,$L249))</f>
        <v/>
      </c>
      <c r="C249" s="22" t="str">
        <f>IF($L249="","",ROWS($L$5:L249)-(INDEX('Packet Builder'!$O$5:$O$34,$L249)-$M249-1))</f>
        <v/>
      </c>
      <c r="D249" s="22" t="str">
        <f>IF($L249="","",IF($C249&gt;$M249,"EOF",IFERROR(VALUE(TRIM(MID(SUBSTITUTE(INDEX('Packet Builder'!$P$5:$P$34,$L249),",",REPT(" ",LEN(INDEX('Packet Builder'!$P$5:$P$34,$L249)))),($C249-1)*LEN(INDEX('Packet Builder'!$P$5:$P$34,$L249))+1,LEN(INDEX('Packet Builder'!$P$5:$P$34,$L249))))),"ERR")))</f>
        <v/>
      </c>
      <c r="E249" s="21" t="str">
        <f>IF($L249="","",IF($C249&gt;$M249,"End of Frame Delimiter",IFERROR(INDEX(Fields!$B$5:$B$48,MATCH($D249,Fields!$A$5:$A$48,0)),"MISSING")))</f>
        <v/>
      </c>
      <c r="F249" s="22" t="str">
        <f>IF($L249="","",SUMIF($L$5:L249,L249,$G$5:G249)-G249)</f>
        <v/>
      </c>
      <c r="G249" s="22" t="str">
        <f>IF($L249="","",IF($C249&gt;$M249,Overview!$B$26,IFERROR(INDEX(Fields!$F$5:$F$48,MATCH($D249,Fields!$A$5:$A$48,0)),0)))</f>
        <v/>
      </c>
      <c r="H249" s="22" t="str">
        <f t="shared" si="3"/>
        <v/>
      </c>
      <c r="I249" s="21" t="str">
        <f>IF($L249="","",IF($C249&gt;$M249,IF(Overview!$B$26=1,"uint8","uint8["&amp;Overview!$B$26&amp;"]"),IFERROR(INDEX(Fields!$E$5:$E$48,MATCH($D249,Fields!$A$5:$A$48,0)),"MISSING")))</f>
        <v/>
      </c>
      <c r="J249" s="21" t="str">
        <f>IF($L249="","",IF($C249&gt;$M249,"Fixed end-of-frame delimiter, value "&amp;Overview!$B$25&amp;".",IFERROR(INDEX(Fields!$G$5:$G$48,MATCH($D249,Fields!$A$5:$A$48,0)),"MISSING")))</f>
        <v/>
      </c>
      <c r="K249" s="21" t="str">
        <f>IF($L249="","",IF($C249&gt;$M249,"n/a",IFERROR(INDEX(Fields!$H$5:$H$48,MATCH($D249,Fields!$A$5:$A$48,0)),"MISSING")))</f>
        <v/>
      </c>
      <c r="L249" s="23" t="str">
        <f>IF(ROWS($L$5:L249)&gt;MAX('Packet Builder'!$O$5:$O$34),"",COUNTIF('Packet Builder'!$O$5:$O$34,"&lt;"&amp;ROWS($L$5:L249))+1)</f>
        <v/>
      </c>
      <c r="M249" s="23" t="str">
        <f>IF($L249="","",INDEX('Packet Builder'!$F$5:$F$34,$L249))</f>
        <v/>
      </c>
    </row>
    <row r="250" spans="1:13" x14ac:dyDescent="0.35">
      <c r="A250" s="21" t="str">
        <f>IF($L250="","",INDEX('Packet Builder'!$A$5:$A$34,$L250))</f>
        <v/>
      </c>
      <c r="B250" s="21" t="str">
        <f>IF($L250="","",INDEX('Packet Builder'!$B$5:$B$34,$L250))</f>
        <v/>
      </c>
      <c r="C250" s="22" t="str">
        <f>IF($L250="","",ROWS($L$5:L250)-(INDEX('Packet Builder'!$O$5:$O$34,$L250)-$M250-1))</f>
        <v/>
      </c>
      <c r="D250" s="22" t="str">
        <f>IF($L250="","",IF($C250&gt;$M250,"EOF",IFERROR(VALUE(TRIM(MID(SUBSTITUTE(INDEX('Packet Builder'!$P$5:$P$34,$L250),",",REPT(" ",LEN(INDEX('Packet Builder'!$P$5:$P$34,$L250)))),($C250-1)*LEN(INDEX('Packet Builder'!$P$5:$P$34,$L250))+1,LEN(INDEX('Packet Builder'!$P$5:$P$34,$L250))))),"ERR")))</f>
        <v/>
      </c>
      <c r="E250" s="21" t="str">
        <f>IF($L250="","",IF($C250&gt;$M250,"End of Frame Delimiter",IFERROR(INDEX(Fields!$B$5:$B$48,MATCH($D250,Fields!$A$5:$A$48,0)),"MISSING")))</f>
        <v/>
      </c>
      <c r="F250" s="22" t="str">
        <f>IF($L250="","",SUMIF($L$5:L250,L250,$G$5:G250)-G250)</f>
        <v/>
      </c>
      <c r="G250" s="22" t="str">
        <f>IF($L250="","",IF($C250&gt;$M250,Overview!$B$26,IFERROR(INDEX(Fields!$F$5:$F$48,MATCH($D250,Fields!$A$5:$A$48,0)),0)))</f>
        <v/>
      </c>
      <c r="H250" s="22" t="str">
        <f t="shared" si="3"/>
        <v/>
      </c>
      <c r="I250" s="21" t="str">
        <f>IF($L250="","",IF($C250&gt;$M250,IF(Overview!$B$26=1,"uint8","uint8["&amp;Overview!$B$26&amp;"]"),IFERROR(INDEX(Fields!$E$5:$E$48,MATCH($D250,Fields!$A$5:$A$48,0)),"MISSING")))</f>
        <v/>
      </c>
      <c r="J250" s="21" t="str">
        <f>IF($L250="","",IF($C250&gt;$M250,"Fixed end-of-frame delimiter, value "&amp;Overview!$B$25&amp;".",IFERROR(INDEX(Fields!$G$5:$G$48,MATCH($D250,Fields!$A$5:$A$48,0)),"MISSING")))</f>
        <v/>
      </c>
      <c r="K250" s="21" t="str">
        <f>IF($L250="","",IF($C250&gt;$M250,"n/a",IFERROR(INDEX(Fields!$H$5:$H$48,MATCH($D250,Fields!$A$5:$A$48,0)),"MISSING")))</f>
        <v/>
      </c>
      <c r="L250" s="23" t="str">
        <f>IF(ROWS($L$5:L250)&gt;MAX('Packet Builder'!$O$5:$O$34),"",COUNTIF('Packet Builder'!$O$5:$O$34,"&lt;"&amp;ROWS($L$5:L250))+1)</f>
        <v/>
      </c>
      <c r="M250" s="23" t="str">
        <f>IF($L250="","",INDEX('Packet Builder'!$F$5:$F$34,$L250))</f>
        <v/>
      </c>
    </row>
    <row r="251" spans="1:13" x14ac:dyDescent="0.35">
      <c r="A251" s="21" t="str">
        <f>IF($L251="","",INDEX('Packet Builder'!$A$5:$A$34,$L251))</f>
        <v/>
      </c>
      <c r="B251" s="21" t="str">
        <f>IF($L251="","",INDEX('Packet Builder'!$B$5:$B$34,$L251))</f>
        <v/>
      </c>
      <c r="C251" s="22" t="str">
        <f>IF($L251="","",ROWS($L$5:L251)-(INDEX('Packet Builder'!$O$5:$O$34,$L251)-$M251-1))</f>
        <v/>
      </c>
      <c r="D251" s="22" t="str">
        <f>IF($L251="","",IF($C251&gt;$M251,"EOF",IFERROR(VALUE(TRIM(MID(SUBSTITUTE(INDEX('Packet Builder'!$P$5:$P$34,$L251),",",REPT(" ",LEN(INDEX('Packet Builder'!$P$5:$P$34,$L251)))),($C251-1)*LEN(INDEX('Packet Builder'!$P$5:$P$34,$L251))+1,LEN(INDEX('Packet Builder'!$P$5:$P$34,$L251))))),"ERR")))</f>
        <v/>
      </c>
      <c r="E251" s="21" t="str">
        <f>IF($L251="","",IF($C251&gt;$M251,"End of Frame Delimiter",IFERROR(INDEX(Fields!$B$5:$B$48,MATCH($D251,Fields!$A$5:$A$48,0)),"MISSING")))</f>
        <v/>
      </c>
      <c r="F251" s="22" t="str">
        <f>IF($L251="","",SUMIF($L$5:L251,L251,$G$5:G251)-G251)</f>
        <v/>
      </c>
      <c r="G251" s="22" t="str">
        <f>IF($L251="","",IF($C251&gt;$M251,Overview!$B$26,IFERROR(INDEX(Fields!$F$5:$F$48,MATCH($D251,Fields!$A$5:$A$48,0)),0)))</f>
        <v/>
      </c>
      <c r="H251" s="22" t="str">
        <f t="shared" si="3"/>
        <v/>
      </c>
      <c r="I251" s="21" t="str">
        <f>IF($L251="","",IF($C251&gt;$M251,IF(Overview!$B$26=1,"uint8","uint8["&amp;Overview!$B$26&amp;"]"),IFERROR(INDEX(Fields!$E$5:$E$48,MATCH($D251,Fields!$A$5:$A$48,0)),"MISSING")))</f>
        <v/>
      </c>
      <c r="J251" s="21" t="str">
        <f>IF($L251="","",IF($C251&gt;$M251,"Fixed end-of-frame delimiter, value "&amp;Overview!$B$25&amp;".",IFERROR(INDEX(Fields!$G$5:$G$48,MATCH($D251,Fields!$A$5:$A$48,0)),"MISSING")))</f>
        <v/>
      </c>
      <c r="K251" s="21" t="str">
        <f>IF($L251="","",IF($C251&gt;$M251,"n/a",IFERROR(INDEX(Fields!$H$5:$H$48,MATCH($D251,Fields!$A$5:$A$48,0)),"MISSING")))</f>
        <v/>
      </c>
      <c r="L251" s="23" t="str">
        <f>IF(ROWS($L$5:L251)&gt;MAX('Packet Builder'!$O$5:$O$34),"",COUNTIF('Packet Builder'!$O$5:$O$34,"&lt;"&amp;ROWS($L$5:L251))+1)</f>
        <v/>
      </c>
      <c r="M251" s="23" t="str">
        <f>IF($L251="","",INDEX('Packet Builder'!$F$5:$F$34,$L251))</f>
        <v/>
      </c>
    </row>
    <row r="252" spans="1:13" x14ac:dyDescent="0.35">
      <c r="A252" s="21" t="str">
        <f>IF($L252="","",INDEX('Packet Builder'!$A$5:$A$34,$L252))</f>
        <v/>
      </c>
      <c r="B252" s="21" t="str">
        <f>IF($L252="","",INDEX('Packet Builder'!$B$5:$B$34,$L252))</f>
        <v/>
      </c>
      <c r="C252" s="22" t="str">
        <f>IF($L252="","",ROWS($L$5:L252)-(INDEX('Packet Builder'!$O$5:$O$34,$L252)-$M252-1))</f>
        <v/>
      </c>
      <c r="D252" s="22" t="str">
        <f>IF($L252="","",IF($C252&gt;$M252,"EOF",IFERROR(VALUE(TRIM(MID(SUBSTITUTE(INDEX('Packet Builder'!$P$5:$P$34,$L252),",",REPT(" ",LEN(INDEX('Packet Builder'!$P$5:$P$34,$L252)))),($C252-1)*LEN(INDEX('Packet Builder'!$P$5:$P$34,$L252))+1,LEN(INDEX('Packet Builder'!$P$5:$P$34,$L252))))),"ERR")))</f>
        <v/>
      </c>
      <c r="E252" s="21" t="str">
        <f>IF($L252="","",IF($C252&gt;$M252,"End of Frame Delimiter",IFERROR(INDEX(Fields!$B$5:$B$48,MATCH($D252,Fields!$A$5:$A$48,0)),"MISSING")))</f>
        <v/>
      </c>
      <c r="F252" s="22" t="str">
        <f>IF($L252="","",SUMIF($L$5:L252,L252,$G$5:G252)-G252)</f>
        <v/>
      </c>
      <c r="G252" s="22" t="str">
        <f>IF($L252="","",IF($C252&gt;$M252,Overview!$B$26,IFERROR(INDEX(Fields!$F$5:$F$48,MATCH($D252,Fields!$A$5:$A$48,0)),0)))</f>
        <v/>
      </c>
      <c r="H252" s="22" t="str">
        <f t="shared" si="3"/>
        <v/>
      </c>
      <c r="I252" s="21" t="str">
        <f>IF($L252="","",IF($C252&gt;$M252,IF(Overview!$B$26=1,"uint8","uint8["&amp;Overview!$B$26&amp;"]"),IFERROR(INDEX(Fields!$E$5:$E$48,MATCH($D252,Fields!$A$5:$A$48,0)),"MISSING")))</f>
        <v/>
      </c>
      <c r="J252" s="21" t="str">
        <f>IF($L252="","",IF($C252&gt;$M252,"Fixed end-of-frame delimiter, value "&amp;Overview!$B$25&amp;".",IFERROR(INDEX(Fields!$G$5:$G$48,MATCH($D252,Fields!$A$5:$A$48,0)),"MISSING")))</f>
        <v/>
      </c>
      <c r="K252" s="21" t="str">
        <f>IF($L252="","",IF($C252&gt;$M252,"n/a",IFERROR(INDEX(Fields!$H$5:$H$48,MATCH($D252,Fields!$A$5:$A$48,0)),"MISSING")))</f>
        <v/>
      </c>
      <c r="L252" s="23" t="str">
        <f>IF(ROWS($L$5:L252)&gt;MAX('Packet Builder'!$O$5:$O$34),"",COUNTIF('Packet Builder'!$O$5:$O$34,"&lt;"&amp;ROWS($L$5:L252))+1)</f>
        <v/>
      </c>
      <c r="M252" s="23" t="str">
        <f>IF($L252="","",INDEX('Packet Builder'!$F$5:$F$34,$L252))</f>
        <v/>
      </c>
    </row>
    <row r="253" spans="1:13" x14ac:dyDescent="0.35">
      <c r="A253" s="21" t="str">
        <f>IF($L253="","",INDEX('Packet Builder'!$A$5:$A$34,$L253))</f>
        <v/>
      </c>
      <c r="B253" s="21" t="str">
        <f>IF($L253="","",INDEX('Packet Builder'!$B$5:$B$34,$L253))</f>
        <v/>
      </c>
      <c r="C253" s="22" t="str">
        <f>IF($L253="","",ROWS($L$5:L253)-(INDEX('Packet Builder'!$O$5:$O$34,$L253)-$M253-1))</f>
        <v/>
      </c>
      <c r="D253" s="22" t="str">
        <f>IF($L253="","",IF($C253&gt;$M253,"EOF",IFERROR(VALUE(TRIM(MID(SUBSTITUTE(INDEX('Packet Builder'!$P$5:$P$34,$L253),",",REPT(" ",LEN(INDEX('Packet Builder'!$P$5:$P$34,$L253)))),($C253-1)*LEN(INDEX('Packet Builder'!$P$5:$P$34,$L253))+1,LEN(INDEX('Packet Builder'!$P$5:$P$34,$L253))))),"ERR")))</f>
        <v/>
      </c>
      <c r="E253" s="21" t="str">
        <f>IF($L253="","",IF($C253&gt;$M253,"End of Frame Delimiter",IFERROR(INDEX(Fields!$B$5:$B$48,MATCH($D253,Fields!$A$5:$A$48,0)),"MISSING")))</f>
        <v/>
      </c>
      <c r="F253" s="22" t="str">
        <f>IF($L253="","",SUMIF($L$5:L253,L253,$G$5:G253)-G253)</f>
        <v/>
      </c>
      <c r="G253" s="22" t="str">
        <f>IF($L253="","",IF($C253&gt;$M253,Overview!$B$26,IFERROR(INDEX(Fields!$F$5:$F$48,MATCH($D253,Fields!$A$5:$A$48,0)),0)))</f>
        <v/>
      </c>
      <c r="H253" s="22" t="str">
        <f t="shared" si="3"/>
        <v/>
      </c>
      <c r="I253" s="21" t="str">
        <f>IF($L253="","",IF($C253&gt;$M253,IF(Overview!$B$26=1,"uint8","uint8["&amp;Overview!$B$26&amp;"]"),IFERROR(INDEX(Fields!$E$5:$E$48,MATCH($D253,Fields!$A$5:$A$48,0)),"MISSING")))</f>
        <v/>
      </c>
      <c r="J253" s="21" t="str">
        <f>IF($L253="","",IF($C253&gt;$M253,"Fixed end-of-frame delimiter, value "&amp;Overview!$B$25&amp;".",IFERROR(INDEX(Fields!$G$5:$G$48,MATCH($D253,Fields!$A$5:$A$48,0)),"MISSING")))</f>
        <v/>
      </c>
      <c r="K253" s="21" t="str">
        <f>IF($L253="","",IF($C253&gt;$M253,"n/a",IFERROR(INDEX(Fields!$H$5:$H$48,MATCH($D253,Fields!$A$5:$A$48,0)),"MISSING")))</f>
        <v/>
      </c>
      <c r="L253" s="23" t="str">
        <f>IF(ROWS($L$5:L253)&gt;MAX('Packet Builder'!$O$5:$O$34),"",COUNTIF('Packet Builder'!$O$5:$O$34,"&lt;"&amp;ROWS($L$5:L253))+1)</f>
        <v/>
      </c>
      <c r="M253" s="23" t="str">
        <f>IF($L253="","",INDEX('Packet Builder'!$F$5:$F$34,$L253))</f>
        <v/>
      </c>
    </row>
    <row r="254" spans="1:13" x14ac:dyDescent="0.35">
      <c r="A254" s="21" t="str">
        <f>IF($L254="","",INDEX('Packet Builder'!$A$5:$A$34,$L254))</f>
        <v/>
      </c>
      <c r="B254" s="21" t="str">
        <f>IF($L254="","",INDEX('Packet Builder'!$B$5:$B$34,$L254))</f>
        <v/>
      </c>
      <c r="C254" s="22" t="str">
        <f>IF($L254="","",ROWS($L$5:L254)-(INDEX('Packet Builder'!$O$5:$O$34,$L254)-$M254-1))</f>
        <v/>
      </c>
      <c r="D254" s="22" t="str">
        <f>IF($L254="","",IF($C254&gt;$M254,"EOF",IFERROR(VALUE(TRIM(MID(SUBSTITUTE(INDEX('Packet Builder'!$P$5:$P$34,$L254),",",REPT(" ",LEN(INDEX('Packet Builder'!$P$5:$P$34,$L254)))),($C254-1)*LEN(INDEX('Packet Builder'!$P$5:$P$34,$L254))+1,LEN(INDEX('Packet Builder'!$P$5:$P$34,$L254))))),"ERR")))</f>
        <v/>
      </c>
      <c r="E254" s="21" t="str">
        <f>IF($L254="","",IF($C254&gt;$M254,"End of Frame Delimiter",IFERROR(INDEX(Fields!$B$5:$B$48,MATCH($D254,Fields!$A$5:$A$48,0)),"MISSING")))</f>
        <v/>
      </c>
      <c r="F254" s="22" t="str">
        <f>IF($L254="","",SUMIF($L$5:L254,L254,$G$5:G254)-G254)</f>
        <v/>
      </c>
      <c r="G254" s="22" t="str">
        <f>IF($L254="","",IF($C254&gt;$M254,Overview!$B$26,IFERROR(INDEX(Fields!$F$5:$F$48,MATCH($D254,Fields!$A$5:$A$48,0)),0)))</f>
        <v/>
      </c>
      <c r="H254" s="22" t="str">
        <f t="shared" si="3"/>
        <v/>
      </c>
      <c r="I254" s="21" t="str">
        <f>IF($L254="","",IF($C254&gt;$M254,IF(Overview!$B$26=1,"uint8","uint8["&amp;Overview!$B$26&amp;"]"),IFERROR(INDEX(Fields!$E$5:$E$48,MATCH($D254,Fields!$A$5:$A$48,0)),"MISSING")))</f>
        <v/>
      </c>
      <c r="J254" s="21" t="str">
        <f>IF($L254="","",IF($C254&gt;$M254,"Fixed end-of-frame delimiter, value "&amp;Overview!$B$25&amp;".",IFERROR(INDEX(Fields!$G$5:$G$48,MATCH($D254,Fields!$A$5:$A$48,0)),"MISSING")))</f>
        <v/>
      </c>
      <c r="K254" s="21" t="str">
        <f>IF($L254="","",IF($C254&gt;$M254,"n/a",IFERROR(INDEX(Fields!$H$5:$H$48,MATCH($D254,Fields!$A$5:$A$48,0)),"MISSING")))</f>
        <v/>
      </c>
      <c r="L254" s="23" t="str">
        <f>IF(ROWS($L$5:L254)&gt;MAX('Packet Builder'!$O$5:$O$34),"",COUNTIF('Packet Builder'!$O$5:$O$34,"&lt;"&amp;ROWS($L$5:L254))+1)</f>
        <v/>
      </c>
      <c r="M254" s="23" t="str">
        <f>IF($L254="","",INDEX('Packet Builder'!$F$5:$F$34,$L254))</f>
        <v/>
      </c>
    </row>
    <row r="255" spans="1:13" x14ac:dyDescent="0.35">
      <c r="A255" s="21" t="str">
        <f>IF($L255="","",INDEX('Packet Builder'!$A$5:$A$34,$L255))</f>
        <v/>
      </c>
      <c r="B255" s="21" t="str">
        <f>IF($L255="","",INDEX('Packet Builder'!$B$5:$B$34,$L255))</f>
        <v/>
      </c>
      <c r="C255" s="22" t="str">
        <f>IF($L255="","",ROWS($L$5:L255)-(INDEX('Packet Builder'!$O$5:$O$34,$L255)-$M255-1))</f>
        <v/>
      </c>
      <c r="D255" s="22" t="str">
        <f>IF($L255="","",IF($C255&gt;$M255,"EOF",IFERROR(VALUE(TRIM(MID(SUBSTITUTE(INDEX('Packet Builder'!$P$5:$P$34,$L255),",",REPT(" ",LEN(INDEX('Packet Builder'!$P$5:$P$34,$L255)))),($C255-1)*LEN(INDEX('Packet Builder'!$P$5:$P$34,$L255))+1,LEN(INDEX('Packet Builder'!$P$5:$P$34,$L255))))),"ERR")))</f>
        <v/>
      </c>
      <c r="E255" s="21" t="str">
        <f>IF($L255="","",IF($C255&gt;$M255,"End of Frame Delimiter",IFERROR(INDEX(Fields!$B$5:$B$48,MATCH($D255,Fields!$A$5:$A$48,0)),"MISSING")))</f>
        <v/>
      </c>
      <c r="F255" s="22" t="str">
        <f>IF($L255="","",SUMIF($L$5:L255,L255,$G$5:G255)-G255)</f>
        <v/>
      </c>
      <c r="G255" s="22" t="str">
        <f>IF($L255="","",IF($C255&gt;$M255,Overview!$B$26,IFERROR(INDEX(Fields!$F$5:$F$48,MATCH($D255,Fields!$A$5:$A$48,0)),0)))</f>
        <v/>
      </c>
      <c r="H255" s="22" t="str">
        <f t="shared" si="3"/>
        <v/>
      </c>
      <c r="I255" s="21" t="str">
        <f>IF($L255="","",IF($C255&gt;$M255,IF(Overview!$B$26=1,"uint8","uint8["&amp;Overview!$B$26&amp;"]"),IFERROR(INDEX(Fields!$E$5:$E$48,MATCH($D255,Fields!$A$5:$A$48,0)),"MISSING")))</f>
        <v/>
      </c>
      <c r="J255" s="21" t="str">
        <f>IF($L255="","",IF($C255&gt;$M255,"Fixed end-of-frame delimiter, value "&amp;Overview!$B$25&amp;".",IFERROR(INDEX(Fields!$G$5:$G$48,MATCH($D255,Fields!$A$5:$A$48,0)),"MISSING")))</f>
        <v/>
      </c>
      <c r="K255" s="21" t="str">
        <f>IF($L255="","",IF($C255&gt;$M255,"n/a",IFERROR(INDEX(Fields!$H$5:$H$48,MATCH($D255,Fields!$A$5:$A$48,0)),"MISSING")))</f>
        <v/>
      </c>
      <c r="L255" s="23" t="str">
        <f>IF(ROWS($L$5:L255)&gt;MAX('Packet Builder'!$O$5:$O$34),"",COUNTIF('Packet Builder'!$O$5:$O$34,"&lt;"&amp;ROWS($L$5:L255))+1)</f>
        <v/>
      </c>
      <c r="M255" s="23" t="str">
        <f>IF($L255="","",INDEX('Packet Builder'!$F$5:$F$34,$L255))</f>
        <v/>
      </c>
    </row>
    <row r="256" spans="1:13" x14ac:dyDescent="0.35">
      <c r="A256" s="21" t="str">
        <f>IF($L256="","",INDEX('Packet Builder'!$A$5:$A$34,$L256))</f>
        <v/>
      </c>
      <c r="B256" s="21" t="str">
        <f>IF($L256="","",INDEX('Packet Builder'!$B$5:$B$34,$L256))</f>
        <v/>
      </c>
      <c r="C256" s="22" t="str">
        <f>IF($L256="","",ROWS($L$5:L256)-(INDEX('Packet Builder'!$O$5:$O$34,$L256)-$M256-1))</f>
        <v/>
      </c>
      <c r="D256" s="22" t="str">
        <f>IF($L256="","",IF($C256&gt;$M256,"EOF",IFERROR(VALUE(TRIM(MID(SUBSTITUTE(INDEX('Packet Builder'!$P$5:$P$34,$L256),",",REPT(" ",LEN(INDEX('Packet Builder'!$P$5:$P$34,$L256)))),($C256-1)*LEN(INDEX('Packet Builder'!$P$5:$P$34,$L256))+1,LEN(INDEX('Packet Builder'!$P$5:$P$34,$L256))))),"ERR")))</f>
        <v/>
      </c>
      <c r="E256" s="21" t="str">
        <f>IF($L256="","",IF($C256&gt;$M256,"End of Frame Delimiter",IFERROR(INDEX(Fields!$B$5:$B$48,MATCH($D256,Fields!$A$5:$A$48,0)),"MISSING")))</f>
        <v/>
      </c>
      <c r="F256" s="22" t="str">
        <f>IF($L256="","",SUMIF($L$5:L256,L256,$G$5:G256)-G256)</f>
        <v/>
      </c>
      <c r="G256" s="22" t="str">
        <f>IF($L256="","",IF($C256&gt;$M256,Overview!$B$26,IFERROR(INDEX(Fields!$F$5:$F$48,MATCH($D256,Fields!$A$5:$A$48,0)),0)))</f>
        <v/>
      </c>
      <c r="H256" s="22" t="str">
        <f t="shared" si="3"/>
        <v/>
      </c>
      <c r="I256" s="21" t="str">
        <f>IF($L256="","",IF($C256&gt;$M256,IF(Overview!$B$26=1,"uint8","uint8["&amp;Overview!$B$26&amp;"]"),IFERROR(INDEX(Fields!$E$5:$E$48,MATCH($D256,Fields!$A$5:$A$48,0)),"MISSING")))</f>
        <v/>
      </c>
      <c r="J256" s="21" t="str">
        <f>IF($L256="","",IF($C256&gt;$M256,"Fixed end-of-frame delimiter, value "&amp;Overview!$B$25&amp;".",IFERROR(INDEX(Fields!$G$5:$G$48,MATCH($D256,Fields!$A$5:$A$48,0)),"MISSING")))</f>
        <v/>
      </c>
      <c r="K256" s="21" t="str">
        <f>IF($L256="","",IF($C256&gt;$M256,"n/a",IFERROR(INDEX(Fields!$H$5:$H$48,MATCH($D256,Fields!$A$5:$A$48,0)),"MISSING")))</f>
        <v/>
      </c>
      <c r="L256" s="23" t="str">
        <f>IF(ROWS($L$5:L256)&gt;MAX('Packet Builder'!$O$5:$O$34),"",COUNTIF('Packet Builder'!$O$5:$O$34,"&lt;"&amp;ROWS($L$5:L256))+1)</f>
        <v/>
      </c>
      <c r="M256" s="23" t="str">
        <f>IF($L256="","",INDEX('Packet Builder'!$F$5:$F$34,$L256))</f>
        <v/>
      </c>
    </row>
    <row r="257" spans="1:13" x14ac:dyDescent="0.35">
      <c r="A257" s="21" t="str">
        <f>IF($L257="","",INDEX('Packet Builder'!$A$5:$A$34,$L257))</f>
        <v/>
      </c>
      <c r="B257" s="21" t="str">
        <f>IF($L257="","",INDEX('Packet Builder'!$B$5:$B$34,$L257))</f>
        <v/>
      </c>
      <c r="C257" s="22" t="str">
        <f>IF($L257="","",ROWS($L$5:L257)-(INDEX('Packet Builder'!$O$5:$O$34,$L257)-$M257-1))</f>
        <v/>
      </c>
      <c r="D257" s="22" t="str">
        <f>IF($L257="","",IF($C257&gt;$M257,"EOF",IFERROR(VALUE(TRIM(MID(SUBSTITUTE(INDEX('Packet Builder'!$P$5:$P$34,$L257),",",REPT(" ",LEN(INDEX('Packet Builder'!$P$5:$P$34,$L257)))),($C257-1)*LEN(INDEX('Packet Builder'!$P$5:$P$34,$L257))+1,LEN(INDEX('Packet Builder'!$P$5:$P$34,$L257))))),"ERR")))</f>
        <v/>
      </c>
      <c r="E257" s="21" t="str">
        <f>IF($L257="","",IF($C257&gt;$M257,"End of Frame Delimiter",IFERROR(INDEX(Fields!$B$5:$B$48,MATCH($D257,Fields!$A$5:$A$48,0)),"MISSING")))</f>
        <v/>
      </c>
      <c r="F257" s="22" t="str">
        <f>IF($L257="","",SUMIF($L$5:L257,L257,$G$5:G257)-G257)</f>
        <v/>
      </c>
      <c r="G257" s="22" t="str">
        <f>IF($L257="","",IF($C257&gt;$M257,Overview!$B$26,IFERROR(INDEX(Fields!$F$5:$F$48,MATCH($D257,Fields!$A$5:$A$48,0)),0)))</f>
        <v/>
      </c>
      <c r="H257" s="22" t="str">
        <f t="shared" si="3"/>
        <v/>
      </c>
      <c r="I257" s="21" t="str">
        <f>IF($L257="","",IF($C257&gt;$M257,IF(Overview!$B$26=1,"uint8","uint8["&amp;Overview!$B$26&amp;"]"),IFERROR(INDEX(Fields!$E$5:$E$48,MATCH($D257,Fields!$A$5:$A$48,0)),"MISSING")))</f>
        <v/>
      </c>
      <c r="J257" s="21" t="str">
        <f>IF($L257="","",IF($C257&gt;$M257,"Fixed end-of-frame delimiter, value "&amp;Overview!$B$25&amp;".",IFERROR(INDEX(Fields!$G$5:$G$48,MATCH($D257,Fields!$A$5:$A$48,0)),"MISSING")))</f>
        <v/>
      </c>
      <c r="K257" s="21" t="str">
        <f>IF($L257="","",IF($C257&gt;$M257,"n/a",IFERROR(INDEX(Fields!$H$5:$H$48,MATCH($D257,Fields!$A$5:$A$48,0)),"MISSING")))</f>
        <v/>
      </c>
      <c r="L257" s="23" t="str">
        <f>IF(ROWS($L$5:L257)&gt;MAX('Packet Builder'!$O$5:$O$34),"",COUNTIF('Packet Builder'!$O$5:$O$34,"&lt;"&amp;ROWS($L$5:L257))+1)</f>
        <v/>
      </c>
      <c r="M257" s="23" t="str">
        <f>IF($L257="","",INDEX('Packet Builder'!$F$5:$F$34,$L257))</f>
        <v/>
      </c>
    </row>
    <row r="258" spans="1:13" x14ac:dyDescent="0.35">
      <c r="A258" s="21" t="str">
        <f>IF($L258="","",INDEX('Packet Builder'!$A$5:$A$34,$L258))</f>
        <v/>
      </c>
      <c r="B258" s="21" t="str">
        <f>IF($L258="","",INDEX('Packet Builder'!$B$5:$B$34,$L258))</f>
        <v/>
      </c>
      <c r="C258" s="22" t="str">
        <f>IF($L258="","",ROWS($L$5:L258)-(INDEX('Packet Builder'!$O$5:$O$34,$L258)-$M258-1))</f>
        <v/>
      </c>
      <c r="D258" s="22" t="str">
        <f>IF($L258="","",IF($C258&gt;$M258,"EOF",IFERROR(VALUE(TRIM(MID(SUBSTITUTE(INDEX('Packet Builder'!$P$5:$P$34,$L258),",",REPT(" ",LEN(INDEX('Packet Builder'!$P$5:$P$34,$L258)))),($C258-1)*LEN(INDEX('Packet Builder'!$P$5:$P$34,$L258))+1,LEN(INDEX('Packet Builder'!$P$5:$P$34,$L258))))),"ERR")))</f>
        <v/>
      </c>
      <c r="E258" s="21" t="str">
        <f>IF($L258="","",IF($C258&gt;$M258,"End of Frame Delimiter",IFERROR(INDEX(Fields!$B$5:$B$48,MATCH($D258,Fields!$A$5:$A$48,0)),"MISSING")))</f>
        <v/>
      </c>
      <c r="F258" s="22" t="str">
        <f>IF($L258="","",SUMIF($L$5:L258,L258,$G$5:G258)-G258)</f>
        <v/>
      </c>
      <c r="G258" s="22" t="str">
        <f>IF($L258="","",IF($C258&gt;$M258,Overview!$B$26,IFERROR(INDEX(Fields!$F$5:$F$48,MATCH($D258,Fields!$A$5:$A$48,0)),0)))</f>
        <v/>
      </c>
      <c r="H258" s="22" t="str">
        <f t="shared" si="3"/>
        <v/>
      </c>
      <c r="I258" s="21" t="str">
        <f>IF($L258="","",IF($C258&gt;$M258,IF(Overview!$B$26=1,"uint8","uint8["&amp;Overview!$B$26&amp;"]"),IFERROR(INDEX(Fields!$E$5:$E$48,MATCH($D258,Fields!$A$5:$A$48,0)),"MISSING")))</f>
        <v/>
      </c>
      <c r="J258" s="21" t="str">
        <f>IF($L258="","",IF($C258&gt;$M258,"Fixed end-of-frame delimiter, value "&amp;Overview!$B$25&amp;".",IFERROR(INDEX(Fields!$G$5:$G$48,MATCH($D258,Fields!$A$5:$A$48,0)),"MISSING")))</f>
        <v/>
      </c>
      <c r="K258" s="21" t="str">
        <f>IF($L258="","",IF($C258&gt;$M258,"n/a",IFERROR(INDEX(Fields!$H$5:$H$48,MATCH($D258,Fields!$A$5:$A$48,0)),"MISSING")))</f>
        <v/>
      </c>
      <c r="L258" s="23" t="str">
        <f>IF(ROWS($L$5:L258)&gt;MAX('Packet Builder'!$O$5:$O$34),"",COUNTIF('Packet Builder'!$O$5:$O$34,"&lt;"&amp;ROWS($L$5:L258))+1)</f>
        <v/>
      </c>
      <c r="M258" s="23" t="str">
        <f>IF($L258="","",INDEX('Packet Builder'!$F$5:$F$34,$L258))</f>
        <v/>
      </c>
    </row>
    <row r="259" spans="1:13" x14ac:dyDescent="0.35">
      <c r="A259" s="21" t="str">
        <f>IF($L259="","",INDEX('Packet Builder'!$A$5:$A$34,$L259))</f>
        <v/>
      </c>
      <c r="B259" s="21" t="str">
        <f>IF($L259="","",INDEX('Packet Builder'!$B$5:$B$34,$L259))</f>
        <v/>
      </c>
      <c r="C259" s="22" t="str">
        <f>IF($L259="","",ROWS($L$5:L259)-(INDEX('Packet Builder'!$O$5:$O$34,$L259)-$M259-1))</f>
        <v/>
      </c>
      <c r="D259" s="22" t="str">
        <f>IF($L259="","",IF($C259&gt;$M259,"EOF",IFERROR(VALUE(TRIM(MID(SUBSTITUTE(INDEX('Packet Builder'!$P$5:$P$34,$L259),",",REPT(" ",LEN(INDEX('Packet Builder'!$P$5:$P$34,$L259)))),($C259-1)*LEN(INDEX('Packet Builder'!$P$5:$P$34,$L259))+1,LEN(INDEX('Packet Builder'!$P$5:$P$34,$L259))))),"ERR")))</f>
        <v/>
      </c>
      <c r="E259" s="21" t="str">
        <f>IF($L259="","",IF($C259&gt;$M259,"End of Frame Delimiter",IFERROR(INDEX(Fields!$B$5:$B$48,MATCH($D259,Fields!$A$5:$A$48,0)),"MISSING")))</f>
        <v/>
      </c>
      <c r="F259" s="22" t="str">
        <f>IF($L259="","",SUMIF($L$5:L259,L259,$G$5:G259)-G259)</f>
        <v/>
      </c>
      <c r="G259" s="22" t="str">
        <f>IF($L259="","",IF($C259&gt;$M259,Overview!$B$26,IFERROR(INDEX(Fields!$F$5:$F$48,MATCH($D259,Fields!$A$5:$A$48,0)),0)))</f>
        <v/>
      </c>
      <c r="H259" s="22" t="str">
        <f t="shared" si="3"/>
        <v/>
      </c>
      <c r="I259" s="21" t="str">
        <f>IF($L259="","",IF($C259&gt;$M259,IF(Overview!$B$26=1,"uint8","uint8["&amp;Overview!$B$26&amp;"]"),IFERROR(INDEX(Fields!$E$5:$E$48,MATCH($D259,Fields!$A$5:$A$48,0)),"MISSING")))</f>
        <v/>
      </c>
      <c r="J259" s="21" t="str">
        <f>IF($L259="","",IF($C259&gt;$M259,"Fixed end-of-frame delimiter, value "&amp;Overview!$B$25&amp;".",IFERROR(INDEX(Fields!$G$5:$G$48,MATCH($D259,Fields!$A$5:$A$48,0)),"MISSING")))</f>
        <v/>
      </c>
      <c r="K259" s="21" t="str">
        <f>IF($L259="","",IF($C259&gt;$M259,"n/a",IFERROR(INDEX(Fields!$H$5:$H$48,MATCH($D259,Fields!$A$5:$A$48,0)),"MISSING")))</f>
        <v/>
      </c>
      <c r="L259" s="23" t="str">
        <f>IF(ROWS($L$5:L259)&gt;MAX('Packet Builder'!$O$5:$O$34),"",COUNTIF('Packet Builder'!$O$5:$O$34,"&lt;"&amp;ROWS($L$5:L259))+1)</f>
        <v/>
      </c>
      <c r="M259" s="23" t="str">
        <f>IF($L259="","",INDEX('Packet Builder'!$F$5:$F$34,$L259))</f>
        <v/>
      </c>
    </row>
    <row r="260" spans="1:13" x14ac:dyDescent="0.35">
      <c r="A260" s="21" t="str">
        <f>IF($L260="","",INDEX('Packet Builder'!$A$5:$A$34,$L260))</f>
        <v/>
      </c>
      <c r="B260" s="21" t="str">
        <f>IF($L260="","",INDEX('Packet Builder'!$B$5:$B$34,$L260))</f>
        <v/>
      </c>
      <c r="C260" s="22" t="str">
        <f>IF($L260="","",ROWS($L$5:L260)-(INDEX('Packet Builder'!$O$5:$O$34,$L260)-$M260-1))</f>
        <v/>
      </c>
      <c r="D260" s="22" t="str">
        <f>IF($L260="","",IF($C260&gt;$M260,"EOF",IFERROR(VALUE(TRIM(MID(SUBSTITUTE(INDEX('Packet Builder'!$P$5:$P$34,$L260),",",REPT(" ",LEN(INDEX('Packet Builder'!$P$5:$P$34,$L260)))),($C260-1)*LEN(INDEX('Packet Builder'!$P$5:$P$34,$L260))+1,LEN(INDEX('Packet Builder'!$P$5:$P$34,$L260))))),"ERR")))</f>
        <v/>
      </c>
      <c r="E260" s="21" t="str">
        <f>IF($L260="","",IF($C260&gt;$M260,"End of Frame Delimiter",IFERROR(INDEX(Fields!$B$5:$B$48,MATCH($D260,Fields!$A$5:$A$48,0)),"MISSING")))</f>
        <v/>
      </c>
      <c r="F260" s="22" t="str">
        <f>IF($L260="","",SUMIF($L$5:L260,L260,$G$5:G260)-G260)</f>
        <v/>
      </c>
      <c r="G260" s="22" t="str">
        <f>IF($L260="","",IF($C260&gt;$M260,Overview!$B$26,IFERROR(INDEX(Fields!$F$5:$F$48,MATCH($D260,Fields!$A$5:$A$48,0)),0)))</f>
        <v/>
      </c>
      <c r="H260" s="22" t="str">
        <f t="shared" si="3"/>
        <v/>
      </c>
      <c r="I260" s="21" t="str">
        <f>IF($L260="","",IF($C260&gt;$M260,IF(Overview!$B$26=1,"uint8","uint8["&amp;Overview!$B$26&amp;"]"),IFERROR(INDEX(Fields!$E$5:$E$48,MATCH($D260,Fields!$A$5:$A$48,0)),"MISSING")))</f>
        <v/>
      </c>
      <c r="J260" s="21" t="str">
        <f>IF($L260="","",IF($C260&gt;$M260,"Fixed end-of-frame delimiter, value "&amp;Overview!$B$25&amp;".",IFERROR(INDEX(Fields!$G$5:$G$48,MATCH($D260,Fields!$A$5:$A$48,0)),"MISSING")))</f>
        <v/>
      </c>
      <c r="K260" s="21" t="str">
        <f>IF($L260="","",IF($C260&gt;$M260,"n/a",IFERROR(INDEX(Fields!$H$5:$H$48,MATCH($D260,Fields!$A$5:$A$48,0)),"MISSING")))</f>
        <v/>
      </c>
      <c r="L260" s="23" t="str">
        <f>IF(ROWS($L$5:L260)&gt;MAX('Packet Builder'!$O$5:$O$34),"",COUNTIF('Packet Builder'!$O$5:$O$34,"&lt;"&amp;ROWS($L$5:L260))+1)</f>
        <v/>
      </c>
      <c r="M260" s="23" t="str">
        <f>IF($L260="","",INDEX('Packet Builder'!$F$5:$F$34,$L260))</f>
        <v/>
      </c>
    </row>
    <row r="261" spans="1:13" x14ac:dyDescent="0.35">
      <c r="A261" s="21" t="str">
        <f>IF($L261="","",INDEX('Packet Builder'!$A$5:$A$34,$L261))</f>
        <v/>
      </c>
      <c r="B261" s="21" t="str">
        <f>IF($L261="","",INDEX('Packet Builder'!$B$5:$B$34,$L261))</f>
        <v/>
      </c>
      <c r="C261" s="22" t="str">
        <f>IF($L261="","",ROWS($L$5:L261)-(INDEX('Packet Builder'!$O$5:$O$34,$L261)-$M261-1))</f>
        <v/>
      </c>
      <c r="D261" s="22" t="str">
        <f>IF($L261="","",IF($C261&gt;$M261,"EOF",IFERROR(VALUE(TRIM(MID(SUBSTITUTE(INDEX('Packet Builder'!$P$5:$P$34,$L261),",",REPT(" ",LEN(INDEX('Packet Builder'!$P$5:$P$34,$L261)))),($C261-1)*LEN(INDEX('Packet Builder'!$P$5:$P$34,$L261))+1,LEN(INDEX('Packet Builder'!$P$5:$P$34,$L261))))),"ERR")))</f>
        <v/>
      </c>
      <c r="E261" s="21" t="str">
        <f>IF($L261="","",IF($C261&gt;$M261,"End of Frame Delimiter",IFERROR(INDEX(Fields!$B$5:$B$48,MATCH($D261,Fields!$A$5:$A$48,0)),"MISSING")))</f>
        <v/>
      </c>
      <c r="F261" s="22" t="str">
        <f>IF($L261="","",SUMIF($L$5:L261,L261,$G$5:G261)-G261)</f>
        <v/>
      </c>
      <c r="G261" s="22" t="str">
        <f>IF($L261="","",IF($C261&gt;$M261,Overview!$B$26,IFERROR(INDEX(Fields!$F$5:$F$48,MATCH($D261,Fields!$A$5:$A$48,0)),0)))</f>
        <v/>
      </c>
      <c r="H261" s="22" t="str">
        <f t="shared" ref="H261:H324" si="4">IF($L261="","",F261+G261-1)</f>
        <v/>
      </c>
      <c r="I261" s="21" t="str">
        <f>IF($L261="","",IF($C261&gt;$M261,IF(Overview!$B$26=1,"uint8","uint8["&amp;Overview!$B$26&amp;"]"),IFERROR(INDEX(Fields!$E$5:$E$48,MATCH($D261,Fields!$A$5:$A$48,0)),"MISSING")))</f>
        <v/>
      </c>
      <c r="J261" s="21" t="str">
        <f>IF($L261="","",IF($C261&gt;$M261,"Fixed end-of-frame delimiter, value "&amp;Overview!$B$25&amp;".",IFERROR(INDEX(Fields!$G$5:$G$48,MATCH($D261,Fields!$A$5:$A$48,0)),"MISSING")))</f>
        <v/>
      </c>
      <c r="K261" s="21" t="str">
        <f>IF($L261="","",IF($C261&gt;$M261,"n/a",IFERROR(INDEX(Fields!$H$5:$H$48,MATCH($D261,Fields!$A$5:$A$48,0)),"MISSING")))</f>
        <v/>
      </c>
      <c r="L261" s="23" t="str">
        <f>IF(ROWS($L$5:L261)&gt;MAX('Packet Builder'!$O$5:$O$34),"",COUNTIF('Packet Builder'!$O$5:$O$34,"&lt;"&amp;ROWS($L$5:L261))+1)</f>
        <v/>
      </c>
      <c r="M261" s="23" t="str">
        <f>IF($L261="","",INDEX('Packet Builder'!$F$5:$F$34,$L261))</f>
        <v/>
      </c>
    </row>
    <row r="262" spans="1:13" x14ac:dyDescent="0.35">
      <c r="A262" s="21" t="str">
        <f>IF($L262="","",INDEX('Packet Builder'!$A$5:$A$34,$L262))</f>
        <v/>
      </c>
      <c r="B262" s="21" t="str">
        <f>IF($L262="","",INDEX('Packet Builder'!$B$5:$B$34,$L262))</f>
        <v/>
      </c>
      <c r="C262" s="22" t="str">
        <f>IF($L262="","",ROWS($L$5:L262)-(INDEX('Packet Builder'!$O$5:$O$34,$L262)-$M262-1))</f>
        <v/>
      </c>
      <c r="D262" s="22" t="str">
        <f>IF($L262="","",IF($C262&gt;$M262,"EOF",IFERROR(VALUE(TRIM(MID(SUBSTITUTE(INDEX('Packet Builder'!$P$5:$P$34,$L262),",",REPT(" ",LEN(INDEX('Packet Builder'!$P$5:$P$34,$L262)))),($C262-1)*LEN(INDEX('Packet Builder'!$P$5:$P$34,$L262))+1,LEN(INDEX('Packet Builder'!$P$5:$P$34,$L262))))),"ERR")))</f>
        <v/>
      </c>
      <c r="E262" s="21" t="str">
        <f>IF($L262="","",IF($C262&gt;$M262,"End of Frame Delimiter",IFERROR(INDEX(Fields!$B$5:$B$48,MATCH($D262,Fields!$A$5:$A$48,0)),"MISSING")))</f>
        <v/>
      </c>
      <c r="F262" s="22" t="str">
        <f>IF($L262="","",SUMIF($L$5:L262,L262,$G$5:G262)-G262)</f>
        <v/>
      </c>
      <c r="G262" s="22" t="str">
        <f>IF($L262="","",IF($C262&gt;$M262,Overview!$B$26,IFERROR(INDEX(Fields!$F$5:$F$48,MATCH($D262,Fields!$A$5:$A$48,0)),0)))</f>
        <v/>
      </c>
      <c r="H262" s="22" t="str">
        <f t="shared" si="4"/>
        <v/>
      </c>
      <c r="I262" s="21" t="str">
        <f>IF($L262="","",IF($C262&gt;$M262,IF(Overview!$B$26=1,"uint8","uint8["&amp;Overview!$B$26&amp;"]"),IFERROR(INDEX(Fields!$E$5:$E$48,MATCH($D262,Fields!$A$5:$A$48,0)),"MISSING")))</f>
        <v/>
      </c>
      <c r="J262" s="21" t="str">
        <f>IF($L262="","",IF($C262&gt;$M262,"Fixed end-of-frame delimiter, value "&amp;Overview!$B$25&amp;".",IFERROR(INDEX(Fields!$G$5:$G$48,MATCH($D262,Fields!$A$5:$A$48,0)),"MISSING")))</f>
        <v/>
      </c>
      <c r="K262" s="21" t="str">
        <f>IF($L262="","",IF($C262&gt;$M262,"n/a",IFERROR(INDEX(Fields!$H$5:$H$48,MATCH($D262,Fields!$A$5:$A$48,0)),"MISSING")))</f>
        <v/>
      </c>
      <c r="L262" s="23" t="str">
        <f>IF(ROWS($L$5:L262)&gt;MAX('Packet Builder'!$O$5:$O$34),"",COUNTIF('Packet Builder'!$O$5:$O$34,"&lt;"&amp;ROWS($L$5:L262))+1)</f>
        <v/>
      </c>
      <c r="M262" s="23" t="str">
        <f>IF($L262="","",INDEX('Packet Builder'!$F$5:$F$34,$L262))</f>
        <v/>
      </c>
    </row>
    <row r="263" spans="1:13" x14ac:dyDescent="0.35">
      <c r="A263" s="21" t="str">
        <f>IF($L263="","",INDEX('Packet Builder'!$A$5:$A$34,$L263))</f>
        <v/>
      </c>
      <c r="B263" s="21" t="str">
        <f>IF($L263="","",INDEX('Packet Builder'!$B$5:$B$34,$L263))</f>
        <v/>
      </c>
      <c r="C263" s="22" t="str">
        <f>IF($L263="","",ROWS($L$5:L263)-(INDEX('Packet Builder'!$O$5:$O$34,$L263)-$M263-1))</f>
        <v/>
      </c>
      <c r="D263" s="22" t="str">
        <f>IF($L263="","",IF($C263&gt;$M263,"EOF",IFERROR(VALUE(TRIM(MID(SUBSTITUTE(INDEX('Packet Builder'!$P$5:$P$34,$L263),",",REPT(" ",LEN(INDEX('Packet Builder'!$P$5:$P$34,$L263)))),($C263-1)*LEN(INDEX('Packet Builder'!$P$5:$P$34,$L263))+1,LEN(INDEX('Packet Builder'!$P$5:$P$34,$L263))))),"ERR")))</f>
        <v/>
      </c>
      <c r="E263" s="21" t="str">
        <f>IF($L263="","",IF($C263&gt;$M263,"End of Frame Delimiter",IFERROR(INDEX(Fields!$B$5:$B$48,MATCH($D263,Fields!$A$5:$A$48,0)),"MISSING")))</f>
        <v/>
      </c>
      <c r="F263" s="22" t="str">
        <f>IF($L263="","",SUMIF($L$5:L263,L263,$G$5:G263)-G263)</f>
        <v/>
      </c>
      <c r="G263" s="22" t="str">
        <f>IF($L263="","",IF($C263&gt;$M263,Overview!$B$26,IFERROR(INDEX(Fields!$F$5:$F$48,MATCH($D263,Fields!$A$5:$A$48,0)),0)))</f>
        <v/>
      </c>
      <c r="H263" s="22" t="str">
        <f t="shared" si="4"/>
        <v/>
      </c>
      <c r="I263" s="21" t="str">
        <f>IF($L263="","",IF($C263&gt;$M263,IF(Overview!$B$26=1,"uint8","uint8["&amp;Overview!$B$26&amp;"]"),IFERROR(INDEX(Fields!$E$5:$E$48,MATCH($D263,Fields!$A$5:$A$48,0)),"MISSING")))</f>
        <v/>
      </c>
      <c r="J263" s="21" t="str">
        <f>IF($L263="","",IF($C263&gt;$M263,"Fixed end-of-frame delimiter, value "&amp;Overview!$B$25&amp;".",IFERROR(INDEX(Fields!$G$5:$G$48,MATCH($D263,Fields!$A$5:$A$48,0)),"MISSING")))</f>
        <v/>
      </c>
      <c r="K263" s="21" t="str">
        <f>IF($L263="","",IF($C263&gt;$M263,"n/a",IFERROR(INDEX(Fields!$H$5:$H$48,MATCH($D263,Fields!$A$5:$A$48,0)),"MISSING")))</f>
        <v/>
      </c>
      <c r="L263" s="23" t="str">
        <f>IF(ROWS($L$5:L263)&gt;MAX('Packet Builder'!$O$5:$O$34),"",COUNTIF('Packet Builder'!$O$5:$O$34,"&lt;"&amp;ROWS($L$5:L263))+1)</f>
        <v/>
      </c>
      <c r="M263" s="23" t="str">
        <f>IF($L263="","",INDEX('Packet Builder'!$F$5:$F$34,$L263))</f>
        <v/>
      </c>
    </row>
    <row r="264" spans="1:13" x14ac:dyDescent="0.35">
      <c r="A264" s="21" t="str">
        <f>IF($L264="","",INDEX('Packet Builder'!$A$5:$A$34,$L264))</f>
        <v/>
      </c>
      <c r="B264" s="21" t="str">
        <f>IF($L264="","",INDEX('Packet Builder'!$B$5:$B$34,$L264))</f>
        <v/>
      </c>
      <c r="C264" s="22" t="str">
        <f>IF($L264="","",ROWS($L$5:L264)-(INDEX('Packet Builder'!$O$5:$O$34,$L264)-$M264-1))</f>
        <v/>
      </c>
      <c r="D264" s="22" t="str">
        <f>IF($L264="","",IF($C264&gt;$M264,"EOF",IFERROR(VALUE(TRIM(MID(SUBSTITUTE(INDEX('Packet Builder'!$P$5:$P$34,$L264),",",REPT(" ",LEN(INDEX('Packet Builder'!$P$5:$P$34,$L264)))),($C264-1)*LEN(INDEX('Packet Builder'!$P$5:$P$34,$L264))+1,LEN(INDEX('Packet Builder'!$P$5:$P$34,$L264))))),"ERR")))</f>
        <v/>
      </c>
      <c r="E264" s="21" t="str">
        <f>IF($L264="","",IF($C264&gt;$M264,"End of Frame Delimiter",IFERROR(INDEX(Fields!$B$5:$B$48,MATCH($D264,Fields!$A$5:$A$48,0)),"MISSING")))</f>
        <v/>
      </c>
      <c r="F264" s="22" t="str">
        <f>IF($L264="","",SUMIF($L$5:L264,L264,$G$5:G264)-G264)</f>
        <v/>
      </c>
      <c r="G264" s="22" t="str">
        <f>IF($L264="","",IF($C264&gt;$M264,Overview!$B$26,IFERROR(INDEX(Fields!$F$5:$F$48,MATCH($D264,Fields!$A$5:$A$48,0)),0)))</f>
        <v/>
      </c>
      <c r="H264" s="22" t="str">
        <f t="shared" si="4"/>
        <v/>
      </c>
      <c r="I264" s="21" t="str">
        <f>IF($L264="","",IF($C264&gt;$M264,IF(Overview!$B$26=1,"uint8","uint8["&amp;Overview!$B$26&amp;"]"),IFERROR(INDEX(Fields!$E$5:$E$48,MATCH($D264,Fields!$A$5:$A$48,0)),"MISSING")))</f>
        <v/>
      </c>
      <c r="J264" s="21" t="str">
        <f>IF($L264="","",IF($C264&gt;$M264,"Fixed end-of-frame delimiter, value "&amp;Overview!$B$25&amp;".",IFERROR(INDEX(Fields!$G$5:$G$48,MATCH($D264,Fields!$A$5:$A$48,0)),"MISSING")))</f>
        <v/>
      </c>
      <c r="K264" s="21" t="str">
        <f>IF($L264="","",IF($C264&gt;$M264,"n/a",IFERROR(INDEX(Fields!$H$5:$H$48,MATCH($D264,Fields!$A$5:$A$48,0)),"MISSING")))</f>
        <v/>
      </c>
      <c r="L264" s="23" t="str">
        <f>IF(ROWS($L$5:L264)&gt;MAX('Packet Builder'!$O$5:$O$34),"",COUNTIF('Packet Builder'!$O$5:$O$34,"&lt;"&amp;ROWS($L$5:L264))+1)</f>
        <v/>
      </c>
      <c r="M264" s="23" t="str">
        <f>IF($L264="","",INDEX('Packet Builder'!$F$5:$F$34,$L264))</f>
        <v/>
      </c>
    </row>
    <row r="265" spans="1:13" x14ac:dyDescent="0.35">
      <c r="A265" s="21" t="str">
        <f>IF($L265="","",INDEX('Packet Builder'!$A$5:$A$34,$L265))</f>
        <v/>
      </c>
      <c r="B265" s="21" t="str">
        <f>IF($L265="","",INDEX('Packet Builder'!$B$5:$B$34,$L265))</f>
        <v/>
      </c>
      <c r="C265" s="22" t="str">
        <f>IF($L265="","",ROWS($L$5:L265)-(INDEX('Packet Builder'!$O$5:$O$34,$L265)-$M265-1))</f>
        <v/>
      </c>
      <c r="D265" s="22" t="str">
        <f>IF($L265="","",IF($C265&gt;$M265,"EOF",IFERROR(VALUE(TRIM(MID(SUBSTITUTE(INDEX('Packet Builder'!$P$5:$P$34,$L265),",",REPT(" ",LEN(INDEX('Packet Builder'!$P$5:$P$34,$L265)))),($C265-1)*LEN(INDEX('Packet Builder'!$P$5:$P$34,$L265))+1,LEN(INDEX('Packet Builder'!$P$5:$P$34,$L265))))),"ERR")))</f>
        <v/>
      </c>
      <c r="E265" s="21" t="str">
        <f>IF($L265="","",IF($C265&gt;$M265,"End of Frame Delimiter",IFERROR(INDEX(Fields!$B$5:$B$48,MATCH($D265,Fields!$A$5:$A$48,0)),"MISSING")))</f>
        <v/>
      </c>
      <c r="F265" s="22" t="str">
        <f>IF($L265="","",SUMIF($L$5:L265,L265,$G$5:G265)-G265)</f>
        <v/>
      </c>
      <c r="G265" s="22" t="str">
        <f>IF($L265="","",IF($C265&gt;$M265,Overview!$B$26,IFERROR(INDEX(Fields!$F$5:$F$48,MATCH($D265,Fields!$A$5:$A$48,0)),0)))</f>
        <v/>
      </c>
      <c r="H265" s="22" t="str">
        <f t="shared" si="4"/>
        <v/>
      </c>
      <c r="I265" s="21" t="str">
        <f>IF($L265="","",IF($C265&gt;$M265,IF(Overview!$B$26=1,"uint8","uint8["&amp;Overview!$B$26&amp;"]"),IFERROR(INDEX(Fields!$E$5:$E$48,MATCH($D265,Fields!$A$5:$A$48,0)),"MISSING")))</f>
        <v/>
      </c>
      <c r="J265" s="21" t="str">
        <f>IF($L265="","",IF($C265&gt;$M265,"Fixed end-of-frame delimiter, value "&amp;Overview!$B$25&amp;".",IFERROR(INDEX(Fields!$G$5:$G$48,MATCH($D265,Fields!$A$5:$A$48,0)),"MISSING")))</f>
        <v/>
      </c>
      <c r="K265" s="21" t="str">
        <f>IF($L265="","",IF($C265&gt;$M265,"n/a",IFERROR(INDEX(Fields!$H$5:$H$48,MATCH($D265,Fields!$A$5:$A$48,0)),"MISSING")))</f>
        <v/>
      </c>
      <c r="L265" s="23" t="str">
        <f>IF(ROWS($L$5:L265)&gt;MAX('Packet Builder'!$O$5:$O$34),"",COUNTIF('Packet Builder'!$O$5:$O$34,"&lt;"&amp;ROWS($L$5:L265))+1)</f>
        <v/>
      </c>
      <c r="M265" s="23" t="str">
        <f>IF($L265="","",INDEX('Packet Builder'!$F$5:$F$34,$L265))</f>
        <v/>
      </c>
    </row>
    <row r="266" spans="1:13" x14ac:dyDescent="0.35">
      <c r="A266" s="21" t="str">
        <f>IF($L266="","",INDEX('Packet Builder'!$A$5:$A$34,$L266))</f>
        <v/>
      </c>
      <c r="B266" s="21" t="str">
        <f>IF($L266="","",INDEX('Packet Builder'!$B$5:$B$34,$L266))</f>
        <v/>
      </c>
      <c r="C266" s="22" t="str">
        <f>IF($L266="","",ROWS($L$5:L266)-(INDEX('Packet Builder'!$O$5:$O$34,$L266)-$M266-1))</f>
        <v/>
      </c>
      <c r="D266" s="22" t="str">
        <f>IF($L266="","",IF($C266&gt;$M266,"EOF",IFERROR(VALUE(TRIM(MID(SUBSTITUTE(INDEX('Packet Builder'!$P$5:$P$34,$L266),",",REPT(" ",LEN(INDEX('Packet Builder'!$P$5:$P$34,$L266)))),($C266-1)*LEN(INDEX('Packet Builder'!$P$5:$P$34,$L266))+1,LEN(INDEX('Packet Builder'!$P$5:$P$34,$L266))))),"ERR")))</f>
        <v/>
      </c>
      <c r="E266" s="21" t="str">
        <f>IF($L266="","",IF($C266&gt;$M266,"End of Frame Delimiter",IFERROR(INDEX(Fields!$B$5:$B$48,MATCH($D266,Fields!$A$5:$A$48,0)),"MISSING")))</f>
        <v/>
      </c>
      <c r="F266" s="22" t="str">
        <f>IF($L266="","",SUMIF($L$5:L266,L266,$G$5:G266)-G266)</f>
        <v/>
      </c>
      <c r="G266" s="22" t="str">
        <f>IF($L266="","",IF($C266&gt;$M266,Overview!$B$26,IFERROR(INDEX(Fields!$F$5:$F$48,MATCH($D266,Fields!$A$5:$A$48,0)),0)))</f>
        <v/>
      </c>
      <c r="H266" s="22" t="str">
        <f t="shared" si="4"/>
        <v/>
      </c>
      <c r="I266" s="21" t="str">
        <f>IF($L266="","",IF($C266&gt;$M266,IF(Overview!$B$26=1,"uint8","uint8["&amp;Overview!$B$26&amp;"]"),IFERROR(INDEX(Fields!$E$5:$E$48,MATCH($D266,Fields!$A$5:$A$48,0)),"MISSING")))</f>
        <v/>
      </c>
      <c r="J266" s="21" t="str">
        <f>IF($L266="","",IF($C266&gt;$M266,"Fixed end-of-frame delimiter, value "&amp;Overview!$B$25&amp;".",IFERROR(INDEX(Fields!$G$5:$G$48,MATCH($D266,Fields!$A$5:$A$48,0)),"MISSING")))</f>
        <v/>
      </c>
      <c r="K266" s="21" t="str">
        <f>IF($L266="","",IF($C266&gt;$M266,"n/a",IFERROR(INDEX(Fields!$H$5:$H$48,MATCH($D266,Fields!$A$5:$A$48,0)),"MISSING")))</f>
        <v/>
      </c>
      <c r="L266" s="23" t="str">
        <f>IF(ROWS($L$5:L266)&gt;MAX('Packet Builder'!$O$5:$O$34),"",COUNTIF('Packet Builder'!$O$5:$O$34,"&lt;"&amp;ROWS($L$5:L266))+1)</f>
        <v/>
      </c>
      <c r="M266" s="23" t="str">
        <f>IF($L266="","",INDEX('Packet Builder'!$F$5:$F$34,$L266))</f>
        <v/>
      </c>
    </row>
    <row r="267" spans="1:13" x14ac:dyDescent="0.35">
      <c r="A267" s="21" t="str">
        <f>IF($L267="","",INDEX('Packet Builder'!$A$5:$A$34,$L267))</f>
        <v/>
      </c>
      <c r="B267" s="21" t="str">
        <f>IF($L267="","",INDEX('Packet Builder'!$B$5:$B$34,$L267))</f>
        <v/>
      </c>
      <c r="C267" s="22" t="str">
        <f>IF($L267="","",ROWS($L$5:L267)-(INDEX('Packet Builder'!$O$5:$O$34,$L267)-$M267-1))</f>
        <v/>
      </c>
      <c r="D267" s="22" t="str">
        <f>IF($L267="","",IF($C267&gt;$M267,"EOF",IFERROR(VALUE(TRIM(MID(SUBSTITUTE(INDEX('Packet Builder'!$P$5:$P$34,$L267),",",REPT(" ",LEN(INDEX('Packet Builder'!$P$5:$P$34,$L267)))),($C267-1)*LEN(INDEX('Packet Builder'!$P$5:$P$34,$L267))+1,LEN(INDEX('Packet Builder'!$P$5:$P$34,$L267))))),"ERR")))</f>
        <v/>
      </c>
      <c r="E267" s="21" t="str">
        <f>IF($L267="","",IF($C267&gt;$M267,"End of Frame Delimiter",IFERROR(INDEX(Fields!$B$5:$B$48,MATCH($D267,Fields!$A$5:$A$48,0)),"MISSING")))</f>
        <v/>
      </c>
      <c r="F267" s="22" t="str">
        <f>IF($L267="","",SUMIF($L$5:L267,L267,$G$5:G267)-G267)</f>
        <v/>
      </c>
      <c r="G267" s="22" t="str">
        <f>IF($L267="","",IF($C267&gt;$M267,Overview!$B$26,IFERROR(INDEX(Fields!$F$5:$F$48,MATCH($D267,Fields!$A$5:$A$48,0)),0)))</f>
        <v/>
      </c>
      <c r="H267" s="22" t="str">
        <f t="shared" si="4"/>
        <v/>
      </c>
      <c r="I267" s="21" t="str">
        <f>IF($L267="","",IF($C267&gt;$M267,IF(Overview!$B$26=1,"uint8","uint8["&amp;Overview!$B$26&amp;"]"),IFERROR(INDEX(Fields!$E$5:$E$48,MATCH($D267,Fields!$A$5:$A$48,0)),"MISSING")))</f>
        <v/>
      </c>
      <c r="J267" s="21" t="str">
        <f>IF($L267="","",IF($C267&gt;$M267,"Fixed end-of-frame delimiter, value "&amp;Overview!$B$25&amp;".",IFERROR(INDEX(Fields!$G$5:$G$48,MATCH($D267,Fields!$A$5:$A$48,0)),"MISSING")))</f>
        <v/>
      </c>
      <c r="K267" s="21" t="str">
        <f>IF($L267="","",IF($C267&gt;$M267,"n/a",IFERROR(INDEX(Fields!$H$5:$H$48,MATCH($D267,Fields!$A$5:$A$48,0)),"MISSING")))</f>
        <v/>
      </c>
      <c r="L267" s="23" t="str">
        <f>IF(ROWS($L$5:L267)&gt;MAX('Packet Builder'!$O$5:$O$34),"",COUNTIF('Packet Builder'!$O$5:$O$34,"&lt;"&amp;ROWS($L$5:L267))+1)</f>
        <v/>
      </c>
      <c r="M267" s="23" t="str">
        <f>IF($L267="","",INDEX('Packet Builder'!$F$5:$F$34,$L267))</f>
        <v/>
      </c>
    </row>
    <row r="268" spans="1:13" x14ac:dyDescent="0.35">
      <c r="A268" s="21" t="str">
        <f>IF($L268="","",INDEX('Packet Builder'!$A$5:$A$34,$L268))</f>
        <v/>
      </c>
      <c r="B268" s="21" t="str">
        <f>IF($L268="","",INDEX('Packet Builder'!$B$5:$B$34,$L268))</f>
        <v/>
      </c>
      <c r="C268" s="22" t="str">
        <f>IF($L268="","",ROWS($L$5:L268)-(INDEX('Packet Builder'!$O$5:$O$34,$L268)-$M268-1))</f>
        <v/>
      </c>
      <c r="D268" s="22" t="str">
        <f>IF($L268="","",IF($C268&gt;$M268,"EOF",IFERROR(VALUE(TRIM(MID(SUBSTITUTE(INDEX('Packet Builder'!$P$5:$P$34,$L268),",",REPT(" ",LEN(INDEX('Packet Builder'!$P$5:$P$34,$L268)))),($C268-1)*LEN(INDEX('Packet Builder'!$P$5:$P$34,$L268))+1,LEN(INDEX('Packet Builder'!$P$5:$P$34,$L268))))),"ERR")))</f>
        <v/>
      </c>
      <c r="E268" s="21" t="str">
        <f>IF($L268="","",IF($C268&gt;$M268,"End of Frame Delimiter",IFERROR(INDEX(Fields!$B$5:$B$48,MATCH($D268,Fields!$A$5:$A$48,0)),"MISSING")))</f>
        <v/>
      </c>
      <c r="F268" s="22" t="str">
        <f>IF($L268="","",SUMIF($L$5:L268,L268,$G$5:G268)-G268)</f>
        <v/>
      </c>
      <c r="G268" s="22" t="str">
        <f>IF($L268="","",IF($C268&gt;$M268,Overview!$B$26,IFERROR(INDEX(Fields!$F$5:$F$48,MATCH($D268,Fields!$A$5:$A$48,0)),0)))</f>
        <v/>
      </c>
      <c r="H268" s="22" t="str">
        <f t="shared" si="4"/>
        <v/>
      </c>
      <c r="I268" s="21" t="str">
        <f>IF($L268="","",IF($C268&gt;$M268,IF(Overview!$B$26=1,"uint8","uint8["&amp;Overview!$B$26&amp;"]"),IFERROR(INDEX(Fields!$E$5:$E$48,MATCH($D268,Fields!$A$5:$A$48,0)),"MISSING")))</f>
        <v/>
      </c>
      <c r="J268" s="21" t="str">
        <f>IF($L268="","",IF($C268&gt;$M268,"Fixed end-of-frame delimiter, value "&amp;Overview!$B$25&amp;".",IFERROR(INDEX(Fields!$G$5:$G$48,MATCH($D268,Fields!$A$5:$A$48,0)),"MISSING")))</f>
        <v/>
      </c>
      <c r="K268" s="21" t="str">
        <f>IF($L268="","",IF($C268&gt;$M268,"n/a",IFERROR(INDEX(Fields!$H$5:$H$48,MATCH($D268,Fields!$A$5:$A$48,0)),"MISSING")))</f>
        <v/>
      </c>
      <c r="L268" s="23" t="str">
        <f>IF(ROWS($L$5:L268)&gt;MAX('Packet Builder'!$O$5:$O$34),"",COUNTIF('Packet Builder'!$O$5:$O$34,"&lt;"&amp;ROWS($L$5:L268))+1)</f>
        <v/>
      </c>
      <c r="M268" s="23" t="str">
        <f>IF($L268="","",INDEX('Packet Builder'!$F$5:$F$34,$L268))</f>
        <v/>
      </c>
    </row>
    <row r="269" spans="1:13" x14ac:dyDescent="0.35">
      <c r="A269" s="21" t="str">
        <f>IF($L269="","",INDEX('Packet Builder'!$A$5:$A$34,$L269))</f>
        <v/>
      </c>
      <c r="B269" s="21" t="str">
        <f>IF($L269="","",INDEX('Packet Builder'!$B$5:$B$34,$L269))</f>
        <v/>
      </c>
      <c r="C269" s="22" t="str">
        <f>IF($L269="","",ROWS($L$5:L269)-(INDEX('Packet Builder'!$O$5:$O$34,$L269)-$M269-1))</f>
        <v/>
      </c>
      <c r="D269" s="22" t="str">
        <f>IF($L269="","",IF($C269&gt;$M269,"EOF",IFERROR(VALUE(TRIM(MID(SUBSTITUTE(INDEX('Packet Builder'!$P$5:$P$34,$L269),",",REPT(" ",LEN(INDEX('Packet Builder'!$P$5:$P$34,$L269)))),($C269-1)*LEN(INDEX('Packet Builder'!$P$5:$P$34,$L269))+1,LEN(INDEX('Packet Builder'!$P$5:$P$34,$L269))))),"ERR")))</f>
        <v/>
      </c>
      <c r="E269" s="21" t="str">
        <f>IF($L269="","",IF($C269&gt;$M269,"End of Frame Delimiter",IFERROR(INDEX(Fields!$B$5:$B$48,MATCH($D269,Fields!$A$5:$A$48,0)),"MISSING")))</f>
        <v/>
      </c>
      <c r="F269" s="22" t="str">
        <f>IF($L269="","",SUMIF($L$5:L269,L269,$G$5:G269)-G269)</f>
        <v/>
      </c>
      <c r="G269" s="22" t="str">
        <f>IF($L269="","",IF($C269&gt;$M269,Overview!$B$26,IFERROR(INDEX(Fields!$F$5:$F$48,MATCH($D269,Fields!$A$5:$A$48,0)),0)))</f>
        <v/>
      </c>
      <c r="H269" s="22" t="str">
        <f t="shared" si="4"/>
        <v/>
      </c>
      <c r="I269" s="21" t="str">
        <f>IF($L269="","",IF($C269&gt;$M269,IF(Overview!$B$26=1,"uint8","uint8["&amp;Overview!$B$26&amp;"]"),IFERROR(INDEX(Fields!$E$5:$E$48,MATCH($D269,Fields!$A$5:$A$48,0)),"MISSING")))</f>
        <v/>
      </c>
      <c r="J269" s="21" t="str">
        <f>IF($L269="","",IF($C269&gt;$M269,"Fixed end-of-frame delimiter, value "&amp;Overview!$B$25&amp;".",IFERROR(INDEX(Fields!$G$5:$G$48,MATCH($D269,Fields!$A$5:$A$48,0)),"MISSING")))</f>
        <v/>
      </c>
      <c r="K269" s="21" t="str">
        <f>IF($L269="","",IF($C269&gt;$M269,"n/a",IFERROR(INDEX(Fields!$H$5:$H$48,MATCH($D269,Fields!$A$5:$A$48,0)),"MISSING")))</f>
        <v/>
      </c>
      <c r="L269" s="23" t="str">
        <f>IF(ROWS($L$5:L269)&gt;MAX('Packet Builder'!$O$5:$O$34),"",COUNTIF('Packet Builder'!$O$5:$O$34,"&lt;"&amp;ROWS($L$5:L269))+1)</f>
        <v/>
      </c>
      <c r="M269" s="23" t="str">
        <f>IF($L269="","",INDEX('Packet Builder'!$F$5:$F$34,$L269))</f>
        <v/>
      </c>
    </row>
    <row r="270" spans="1:13" x14ac:dyDescent="0.35">
      <c r="A270" s="21" t="str">
        <f>IF($L270="","",INDEX('Packet Builder'!$A$5:$A$34,$L270))</f>
        <v/>
      </c>
      <c r="B270" s="21" t="str">
        <f>IF($L270="","",INDEX('Packet Builder'!$B$5:$B$34,$L270))</f>
        <v/>
      </c>
      <c r="C270" s="22" t="str">
        <f>IF($L270="","",ROWS($L$5:L270)-(INDEX('Packet Builder'!$O$5:$O$34,$L270)-$M270-1))</f>
        <v/>
      </c>
      <c r="D270" s="22" t="str">
        <f>IF($L270="","",IF($C270&gt;$M270,"EOF",IFERROR(VALUE(TRIM(MID(SUBSTITUTE(INDEX('Packet Builder'!$P$5:$P$34,$L270),",",REPT(" ",LEN(INDEX('Packet Builder'!$P$5:$P$34,$L270)))),($C270-1)*LEN(INDEX('Packet Builder'!$P$5:$P$34,$L270))+1,LEN(INDEX('Packet Builder'!$P$5:$P$34,$L270))))),"ERR")))</f>
        <v/>
      </c>
      <c r="E270" s="21" t="str">
        <f>IF($L270="","",IF($C270&gt;$M270,"End of Frame Delimiter",IFERROR(INDEX(Fields!$B$5:$B$48,MATCH($D270,Fields!$A$5:$A$48,0)),"MISSING")))</f>
        <v/>
      </c>
      <c r="F270" s="22" t="str">
        <f>IF($L270="","",SUMIF($L$5:L270,L270,$G$5:G270)-G270)</f>
        <v/>
      </c>
      <c r="G270" s="22" t="str">
        <f>IF($L270="","",IF($C270&gt;$M270,Overview!$B$26,IFERROR(INDEX(Fields!$F$5:$F$48,MATCH($D270,Fields!$A$5:$A$48,0)),0)))</f>
        <v/>
      </c>
      <c r="H270" s="22" t="str">
        <f t="shared" si="4"/>
        <v/>
      </c>
      <c r="I270" s="21" t="str">
        <f>IF($L270="","",IF($C270&gt;$M270,IF(Overview!$B$26=1,"uint8","uint8["&amp;Overview!$B$26&amp;"]"),IFERROR(INDEX(Fields!$E$5:$E$48,MATCH($D270,Fields!$A$5:$A$48,0)),"MISSING")))</f>
        <v/>
      </c>
      <c r="J270" s="21" t="str">
        <f>IF($L270="","",IF($C270&gt;$M270,"Fixed end-of-frame delimiter, value "&amp;Overview!$B$25&amp;".",IFERROR(INDEX(Fields!$G$5:$G$48,MATCH($D270,Fields!$A$5:$A$48,0)),"MISSING")))</f>
        <v/>
      </c>
      <c r="K270" s="21" t="str">
        <f>IF($L270="","",IF($C270&gt;$M270,"n/a",IFERROR(INDEX(Fields!$H$5:$H$48,MATCH($D270,Fields!$A$5:$A$48,0)),"MISSING")))</f>
        <v/>
      </c>
      <c r="L270" s="23" t="str">
        <f>IF(ROWS($L$5:L270)&gt;MAX('Packet Builder'!$O$5:$O$34),"",COUNTIF('Packet Builder'!$O$5:$O$34,"&lt;"&amp;ROWS($L$5:L270))+1)</f>
        <v/>
      </c>
      <c r="M270" s="23" t="str">
        <f>IF($L270="","",INDEX('Packet Builder'!$F$5:$F$34,$L270))</f>
        <v/>
      </c>
    </row>
    <row r="271" spans="1:13" x14ac:dyDescent="0.35">
      <c r="A271" s="21" t="str">
        <f>IF($L271="","",INDEX('Packet Builder'!$A$5:$A$34,$L271))</f>
        <v/>
      </c>
      <c r="B271" s="21" t="str">
        <f>IF($L271="","",INDEX('Packet Builder'!$B$5:$B$34,$L271))</f>
        <v/>
      </c>
      <c r="C271" s="22" t="str">
        <f>IF($L271="","",ROWS($L$5:L271)-(INDEX('Packet Builder'!$O$5:$O$34,$L271)-$M271-1))</f>
        <v/>
      </c>
      <c r="D271" s="22" t="str">
        <f>IF($L271="","",IF($C271&gt;$M271,"EOF",IFERROR(VALUE(TRIM(MID(SUBSTITUTE(INDEX('Packet Builder'!$P$5:$P$34,$L271),",",REPT(" ",LEN(INDEX('Packet Builder'!$P$5:$P$34,$L271)))),($C271-1)*LEN(INDEX('Packet Builder'!$P$5:$P$34,$L271))+1,LEN(INDEX('Packet Builder'!$P$5:$P$34,$L271))))),"ERR")))</f>
        <v/>
      </c>
      <c r="E271" s="21" t="str">
        <f>IF($L271="","",IF($C271&gt;$M271,"End of Frame Delimiter",IFERROR(INDEX(Fields!$B$5:$B$48,MATCH($D271,Fields!$A$5:$A$48,0)),"MISSING")))</f>
        <v/>
      </c>
      <c r="F271" s="22" t="str">
        <f>IF($L271="","",SUMIF($L$5:L271,L271,$G$5:G271)-G271)</f>
        <v/>
      </c>
      <c r="G271" s="22" t="str">
        <f>IF($L271="","",IF($C271&gt;$M271,Overview!$B$26,IFERROR(INDEX(Fields!$F$5:$F$48,MATCH($D271,Fields!$A$5:$A$48,0)),0)))</f>
        <v/>
      </c>
      <c r="H271" s="22" t="str">
        <f t="shared" si="4"/>
        <v/>
      </c>
      <c r="I271" s="21" t="str">
        <f>IF($L271="","",IF($C271&gt;$M271,IF(Overview!$B$26=1,"uint8","uint8["&amp;Overview!$B$26&amp;"]"),IFERROR(INDEX(Fields!$E$5:$E$48,MATCH($D271,Fields!$A$5:$A$48,0)),"MISSING")))</f>
        <v/>
      </c>
      <c r="J271" s="21" t="str">
        <f>IF($L271="","",IF($C271&gt;$M271,"Fixed end-of-frame delimiter, value "&amp;Overview!$B$25&amp;".",IFERROR(INDEX(Fields!$G$5:$G$48,MATCH($D271,Fields!$A$5:$A$48,0)),"MISSING")))</f>
        <v/>
      </c>
      <c r="K271" s="21" t="str">
        <f>IF($L271="","",IF($C271&gt;$M271,"n/a",IFERROR(INDEX(Fields!$H$5:$H$48,MATCH($D271,Fields!$A$5:$A$48,0)),"MISSING")))</f>
        <v/>
      </c>
      <c r="L271" s="23" t="str">
        <f>IF(ROWS($L$5:L271)&gt;MAX('Packet Builder'!$O$5:$O$34),"",COUNTIF('Packet Builder'!$O$5:$O$34,"&lt;"&amp;ROWS($L$5:L271))+1)</f>
        <v/>
      </c>
      <c r="M271" s="23" t="str">
        <f>IF($L271="","",INDEX('Packet Builder'!$F$5:$F$34,$L271))</f>
        <v/>
      </c>
    </row>
    <row r="272" spans="1:13" x14ac:dyDescent="0.35">
      <c r="A272" s="21" t="str">
        <f>IF($L272="","",INDEX('Packet Builder'!$A$5:$A$34,$L272))</f>
        <v/>
      </c>
      <c r="B272" s="21" t="str">
        <f>IF($L272="","",INDEX('Packet Builder'!$B$5:$B$34,$L272))</f>
        <v/>
      </c>
      <c r="C272" s="22" t="str">
        <f>IF($L272="","",ROWS($L$5:L272)-(INDEX('Packet Builder'!$O$5:$O$34,$L272)-$M272-1))</f>
        <v/>
      </c>
      <c r="D272" s="22" t="str">
        <f>IF($L272="","",IF($C272&gt;$M272,"EOF",IFERROR(VALUE(TRIM(MID(SUBSTITUTE(INDEX('Packet Builder'!$P$5:$P$34,$L272),",",REPT(" ",LEN(INDEX('Packet Builder'!$P$5:$P$34,$L272)))),($C272-1)*LEN(INDEX('Packet Builder'!$P$5:$P$34,$L272))+1,LEN(INDEX('Packet Builder'!$P$5:$P$34,$L272))))),"ERR")))</f>
        <v/>
      </c>
      <c r="E272" s="21" t="str">
        <f>IF($L272="","",IF($C272&gt;$M272,"End of Frame Delimiter",IFERROR(INDEX(Fields!$B$5:$B$48,MATCH($D272,Fields!$A$5:$A$48,0)),"MISSING")))</f>
        <v/>
      </c>
      <c r="F272" s="22" t="str">
        <f>IF($L272="","",SUMIF($L$5:L272,L272,$G$5:G272)-G272)</f>
        <v/>
      </c>
      <c r="G272" s="22" t="str">
        <f>IF($L272="","",IF($C272&gt;$M272,Overview!$B$26,IFERROR(INDEX(Fields!$F$5:$F$48,MATCH($D272,Fields!$A$5:$A$48,0)),0)))</f>
        <v/>
      </c>
      <c r="H272" s="22" t="str">
        <f t="shared" si="4"/>
        <v/>
      </c>
      <c r="I272" s="21" t="str">
        <f>IF($L272="","",IF($C272&gt;$M272,IF(Overview!$B$26=1,"uint8","uint8["&amp;Overview!$B$26&amp;"]"),IFERROR(INDEX(Fields!$E$5:$E$48,MATCH($D272,Fields!$A$5:$A$48,0)),"MISSING")))</f>
        <v/>
      </c>
      <c r="J272" s="21" t="str">
        <f>IF($L272="","",IF($C272&gt;$M272,"Fixed end-of-frame delimiter, value "&amp;Overview!$B$25&amp;".",IFERROR(INDEX(Fields!$G$5:$G$48,MATCH($D272,Fields!$A$5:$A$48,0)),"MISSING")))</f>
        <v/>
      </c>
      <c r="K272" s="21" t="str">
        <f>IF($L272="","",IF($C272&gt;$M272,"n/a",IFERROR(INDEX(Fields!$H$5:$H$48,MATCH($D272,Fields!$A$5:$A$48,0)),"MISSING")))</f>
        <v/>
      </c>
      <c r="L272" s="23" t="str">
        <f>IF(ROWS($L$5:L272)&gt;MAX('Packet Builder'!$O$5:$O$34),"",COUNTIF('Packet Builder'!$O$5:$O$34,"&lt;"&amp;ROWS($L$5:L272))+1)</f>
        <v/>
      </c>
      <c r="M272" s="23" t="str">
        <f>IF($L272="","",INDEX('Packet Builder'!$F$5:$F$34,$L272))</f>
        <v/>
      </c>
    </row>
    <row r="273" spans="1:13" x14ac:dyDescent="0.35">
      <c r="A273" s="21" t="str">
        <f>IF($L273="","",INDEX('Packet Builder'!$A$5:$A$34,$L273))</f>
        <v/>
      </c>
      <c r="B273" s="21" t="str">
        <f>IF($L273="","",INDEX('Packet Builder'!$B$5:$B$34,$L273))</f>
        <v/>
      </c>
      <c r="C273" s="22" t="str">
        <f>IF($L273="","",ROWS($L$5:L273)-(INDEX('Packet Builder'!$O$5:$O$34,$L273)-$M273-1))</f>
        <v/>
      </c>
      <c r="D273" s="22" t="str">
        <f>IF($L273="","",IF($C273&gt;$M273,"EOF",IFERROR(VALUE(TRIM(MID(SUBSTITUTE(INDEX('Packet Builder'!$P$5:$P$34,$L273),",",REPT(" ",LEN(INDEX('Packet Builder'!$P$5:$P$34,$L273)))),($C273-1)*LEN(INDEX('Packet Builder'!$P$5:$P$34,$L273))+1,LEN(INDEX('Packet Builder'!$P$5:$P$34,$L273))))),"ERR")))</f>
        <v/>
      </c>
      <c r="E273" s="21" t="str">
        <f>IF($L273="","",IF($C273&gt;$M273,"End of Frame Delimiter",IFERROR(INDEX(Fields!$B$5:$B$48,MATCH($D273,Fields!$A$5:$A$48,0)),"MISSING")))</f>
        <v/>
      </c>
      <c r="F273" s="22" t="str">
        <f>IF($L273="","",SUMIF($L$5:L273,L273,$G$5:G273)-G273)</f>
        <v/>
      </c>
      <c r="G273" s="22" t="str">
        <f>IF($L273="","",IF($C273&gt;$M273,Overview!$B$26,IFERROR(INDEX(Fields!$F$5:$F$48,MATCH($D273,Fields!$A$5:$A$48,0)),0)))</f>
        <v/>
      </c>
      <c r="H273" s="22" t="str">
        <f t="shared" si="4"/>
        <v/>
      </c>
      <c r="I273" s="21" t="str">
        <f>IF($L273="","",IF($C273&gt;$M273,IF(Overview!$B$26=1,"uint8","uint8["&amp;Overview!$B$26&amp;"]"),IFERROR(INDEX(Fields!$E$5:$E$48,MATCH($D273,Fields!$A$5:$A$48,0)),"MISSING")))</f>
        <v/>
      </c>
      <c r="J273" s="21" t="str">
        <f>IF($L273="","",IF($C273&gt;$M273,"Fixed end-of-frame delimiter, value "&amp;Overview!$B$25&amp;".",IFERROR(INDEX(Fields!$G$5:$G$48,MATCH($D273,Fields!$A$5:$A$48,0)),"MISSING")))</f>
        <v/>
      </c>
      <c r="K273" s="21" t="str">
        <f>IF($L273="","",IF($C273&gt;$M273,"n/a",IFERROR(INDEX(Fields!$H$5:$H$48,MATCH($D273,Fields!$A$5:$A$48,0)),"MISSING")))</f>
        <v/>
      </c>
      <c r="L273" s="23" t="str">
        <f>IF(ROWS($L$5:L273)&gt;MAX('Packet Builder'!$O$5:$O$34),"",COUNTIF('Packet Builder'!$O$5:$O$34,"&lt;"&amp;ROWS($L$5:L273))+1)</f>
        <v/>
      </c>
      <c r="M273" s="23" t="str">
        <f>IF($L273="","",INDEX('Packet Builder'!$F$5:$F$34,$L273))</f>
        <v/>
      </c>
    </row>
    <row r="274" spans="1:13" x14ac:dyDescent="0.35">
      <c r="A274" s="21" t="str">
        <f>IF($L274="","",INDEX('Packet Builder'!$A$5:$A$34,$L274))</f>
        <v/>
      </c>
      <c r="B274" s="21" t="str">
        <f>IF($L274="","",INDEX('Packet Builder'!$B$5:$B$34,$L274))</f>
        <v/>
      </c>
      <c r="C274" s="22" t="str">
        <f>IF($L274="","",ROWS($L$5:L274)-(INDEX('Packet Builder'!$O$5:$O$34,$L274)-$M274-1))</f>
        <v/>
      </c>
      <c r="D274" s="22" t="str">
        <f>IF($L274="","",IF($C274&gt;$M274,"EOF",IFERROR(VALUE(TRIM(MID(SUBSTITUTE(INDEX('Packet Builder'!$P$5:$P$34,$L274),",",REPT(" ",LEN(INDEX('Packet Builder'!$P$5:$P$34,$L274)))),($C274-1)*LEN(INDEX('Packet Builder'!$P$5:$P$34,$L274))+1,LEN(INDEX('Packet Builder'!$P$5:$P$34,$L274))))),"ERR")))</f>
        <v/>
      </c>
      <c r="E274" s="21" t="str">
        <f>IF($L274="","",IF($C274&gt;$M274,"End of Frame Delimiter",IFERROR(INDEX(Fields!$B$5:$B$48,MATCH($D274,Fields!$A$5:$A$48,0)),"MISSING")))</f>
        <v/>
      </c>
      <c r="F274" s="22" t="str">
        <f>IF($L274="","",SUMIF($L$5:L274,L274,$G$5:G274)-G274)</f>
        <v/>
      </c>
      <c r="G274" s="22" t="str">
        <f>IF($L274="","",IF($C274&gt;$M274,Overview!$B$26,IFERROR(INDEX(Fields!$F$5:$F$48,MATCH($D274,Fields!$A$5:$A$48,0)),0)))</f>
        <v/>
      </c>
      <c r="H274" s="22" t="str">
        <f t="shared" si="4"/>
        <v/>
      </c>
      <c r="I274" s="21" t="str">
        <f>IF($L274="","",IF($C274&gt;$M274,IF(Overview!$B$26=1,"uint8","uint8["&amp;Overview!$B$26&amp;"]"),IFERROR(INDEX(Fields!$E$5:$E$48,MATCH($D274,Fields!$A$5:$A$48,0)),"MISSING")))</f>
        <v/>
      </c>
      <c r="J274" s="21" t="str">
        <f>IF($L274="","",IF($C274&gt;$M274,"Fixed end-of-frame delimiter, value "&amp;Overview!$B$25&amp;".",IFERROR(INDEX(Fields!$G$5:$G$48,MATCH($D274,Fields!$A$5:$A$48,0)),"MISSING")))</f>
        <v/>
      </c>
      <c r="K274" s="21" t="str">
        <f>IF($L274="","",IF($C274&gt;$M274,"n/a",IFERROR(INDEX(Fields!$H$5:$H$48,MATCH($D274,Fields!$A$5:$A$48,0)),"MISSING")))</f>
        <v/>
      </c>
      <c r="L274" s="23" t="str">
        <f>IF(ROWS($L$5:L274)&gt;MAX('Packet Builder'!$O$5:$O$34),"",COUNTIF('Packet Builder'!$O$5:$O$34,"&lt;"&amp;ROWS($L$5:L274))+1)</f>
        <v/>
      </c>
      <c r="M274" s="23" t="str">
        <f>IF($L274="","",INDEX('Packet Builder'!$F$5:$F$34,$L274))</f>
        <v/>
      </c>
    </row>
    <row r="275" spans="1:13" x14ac:dyDescent="0.35">
      <c r="A275" s="21" t="str">
        <f>IF($L275="","",INDEX('Packet Builder'!$A$5:$A$34,$L275))</f>
        <v/>
      </c>
      <c r="B275" s="21" t="str">
        <f>IF($L275="","",INDEX('Packet Builder'!$B$5:$B$34,$L275))</f>
        <v/>
      </c>
      <c r="C275" s="22" t="str">
        <f>IF($L275="","",ROWS($L$5:L275)-(INDEX('Packet Builder'!$O$5:$O$34,$L275)-$M275-1))</f>
        <v/>
      </c>
      <c r="D275" s="22" t="str">
        <f>IF($L275="","",IF($C275&gt;$M275,"EOF",IFERROR(VALUE(TRIM(MID(SUBSTITUTE(INDEX('Packet Builder'!$P$5:$P$34,$L275),",",REPT(" ",LEN(INDEX('Packet Builder'!$P$5:$P$34,$L275)))),($C275-1)*LEN(INDEX('Packet Builder'!$P$5:$P$34,$L275))+1,LEN(INDEX('Packet Builder'!$P$5:$P$34,$L275))))),"ERR")))</f>
        <v/>
      </c>
      <c r="E275" s="21" t="str">
        <f>IF($L275="","",IF($C275&gt;$M275,"End of Frame Delimiter",IFERROR(INDEX(Fields!$B$5:$B$48,MATCH($D275,Fields!$A$5:$A$48,0)),"MISSING")))</f>
        <v/>
      </c>
      <c r="F275" s="22" t="str">
        <f>IF($L275="","",SUMIF($L$5:L275,L275,$G$5:G275)-G275)</f>
        <v/>
      </c>
      <c r="G275" s="22" t="str">
        <f>IF($L275="","",IF($C275&gt;$M275,Overview!$B$26,IFERROR(INDEX(Fields!$F$5:$F$48,MATCH($D275,Fields!$A$5:$A$48,0)),0)))</f>
        <v/>
      </c>
      <c r="H275" s="22" t="str">
        <f t="shared" si="4"/>
        <v/>
      </c>
      <c r="I275" s="21" t="str">
        <f>IF($L275="","",IF($C275&gt;$M275,IF(Overview!$B$26=1,"uint8","uint8["&amp;Overview!$B$26&amp;"]"),IFERROR(INDEX(Fields!$E$5:$E$48,MATCH($D275,Fields!$A$5:$A$48,0)),"MISSING")))</f>
        <v/>
      </c>
      <c r="J275" s="21" t="str">
        <f>IF($L275="","",IF($C275&gt;$M275,"Fixed end-of-frame delimiter, value "&amp;Overview!$B$25&amp;".",IFERROR(INDEX(Fields!$G$5:$G$48,MATCH($D275,Fields!$A$5:$A$48,0)),"MISSING")))</f>
        <v/>
      </c>
      <c r="K275" s="21" t="str">
        <f>IF($L275="","",IF($C275&gt;$M275,"n/a",IFERROR(INDEX(Fields!$H$5:$H$48,MATCH($D275,Fields!$A$5:$A$48,0)),"MISSING")))</f>
        <v/>
      </c>
      <c r="L275" s="23" t="str">
        <f>IF(ROWS($L$5:L275)&gt;MAX('Packet Builder'!$O$5:$O$34),"",COUNTIF('Packet Builder'!$O$5:$O$34,"&lt;"&amp;ROWS($L$5:L275))+1)</f>
        <v/>
      </c>
      <c r="M275" s="23" t="str">
        <f>IF($L275="","",INDEX('Packet Builder'!$F$5:$F$34,$L275))</f>
        <v/>
      </c>
    </row>
    <row r="276" spans="1:13" x14ac:dyDescent="0.35">
      <c r="A276" s="21" t="str">
        <f>IF($L276="","",INDEX('Packet Builder'!$A$5:$A$34,$L276))</f>
        <v/>
      </c>
      <c r="B276" s="21" t="str">
        <f>IF($L276="","",INDEX('Packet Builder'!$B$5:$B$34,$L276))</f>
        <v/>
      </c>
      <c r="C276" s="22" t="str">
        <f>IF($L276="","",ROWS($L$5:L276)-(INDEX('Packet Builder'!$O$5:$O$34,$L276)-$M276-1))</f>
        <v/>
      </c>
      <c r="D276" s="22" t="str">
        <f>IF($L276="","",IF($C276&gt;$M276,"EOF",IFERROR(VALUE(TRIM(MID(SUBSTITUTE(INDEX('Packet Builder'!$P$5:$P$34,$L276),",",REPT(" ",LEN(INDEX('Packet Builder'!$P$5:$P$34,$L276)))),($C276-1)*LEN(INDEX('Packet Builder'!$P$5:$P$34,$L276))+1,LEN(INDEX('Packet Builder'!$P$5:$P$34,$L276))))),"ERR")))</f>
        <v/>
      </c>
      <c r="E276" s="21" t="str">
        <f>IF($L276="","",IF($C276&gt;$M276,"End of Frame Delimiter",IFERROR(INDEX(Fields!$B$5:$B$48,MATCH($D276,Fields!$A$5:$A$48,0)),"MISSING")))</f>
        <v/>
      </c>
      <c r="F276" s="22" t="str">
        <f>IF($L276="","",SUMIF($L$5:L276,L276,$G$5:G276)-G276)</f>
        <v/>
      </c>
      <c r="G276" s="22" t="str">
        <f>IF($L276="","",IF($C276&gt;$M276,Overview!$B$26,IFERROR(INDEX(Fields!$F$5:$F$48,MATCH($D276,Fields!$A$5:$A$48,0)),0)))</f>
        <v/>
      </c>
      <c r="H276" s="22" t="str">
        <f t="shared" si="4"/>
        <v/>
      </c>
      <c r="I276" s="21" t="str">
        <f>IF($L276="","",IF($C276&gt;$M276,IF(Overview!$B$26=1,"uint8","uint8["&amp;Overview!$B$26&amp;"]"),IFERROR(INDEX(Fields!$E$5:$E$48,MATCH($D276,Fields!$A$5:$A$48,0)),"MISSING")))</f>
        <v/>
      </c>
      <c r="J276" s="21" t="str">
        <f>IF($L276="","",IF($C276&gt;$M276,"Fixed end-of-frame delimiter, value "&amp;Overview!$B$25&amp;".",IFERROR(INDEX(Fields!$G$5:$G$48,MATCH($D276,Fields!$A$5:$A$48,0)),"MISSING")))</f>
        <v/>
      </c>
      <c r="K276" s="21" t="str">
        <f>IF($L276="","",IF($C276&gt;$M276,"n/a",IFERROR(INDEX(Fields!$H$5:$H$48,MATCH($D276,Fields!$A$5:$A$48,0)),"MISSING")))</f>
        <v/>
      </c>
      <c r="L276" s="23" t="str">
        <f>IF(ROWS($L$5:L276)&gt;MAX('Packet Builder'!$O$5:$O$34),"",COUNTIF('Packet Builder'!$O$5:$O$34,"&lt;"&amp;ROWS($L$5:L276))+1)</f>
        <v/>
      </c>
      <c r="M276" s="23" t="str">
        <f>IF($L276="","",INDEX('Packet Builder'!$F$5:$F$34,$L276))</f>
        <v/>
      </c>
    </row>
    <row r="277" spans="1:13" x14ac:dyDescent="0.35">
      <c r="A277" s="21" t="str">
        <f>IF($L277="","",INDEX('Packet Builder'!$A$5:$A$34,$L277))</f>
        <v/>
      </c>
      <c r="B277" s="21" t="str">
        <f>IF($L277="","",INDEX('Packet Builder'!$B$5:$B$34,$L277))</f>
        <v/>
      </c>
      <c r="C277" s="22" t="str">
        <f>IF($L277="","",ROWS($L$5:L277)-(INDEX('Packet Builder'!$O$5:$O$34,$L277)-$M277-1))</f>
        <v/>
      </c>
      <c r="D277" s="22" t="str">
        <f>IF($L277="","",IF($C277&gt;$M277,"EOF",IFERROR(VALUE(TRIM(MID(SUBSTITUTE(INDEX('Packet Builder'!$P$5:$P$34,$L277),",",REPT(" ",LEN(INDEX('Packet Builder'!$P$5:$P$34,$L277)))),($C277-1)*LEN(INDEX('Packet Builder'!$P$5:$P$34,$L277))+1,LEN(INDEX('Packet Builder'!$P$5:$P$34,$L277))))),"ERR")))</f>
        <v/>
      </c>
      <c r="E277" s="21" t="str">
        <f>IF($L277="","",IF($C277&gt;$M277,"End of Frame Delimiter",IFERROR(INDEX(Fields!$B$5:$B$48,MATCH($D277,Fields!$A$5:$A$48,0)),"MISSING")))</f>
        <v/>
      </c>
      <c r="F277" s="22" t="str">
        <f>IF($L277="","",SUMIF($L$5:L277,L277,$G$5:G277)-G277)</f>
        <v/>
      </c>
      <c r="G277" s="22" t="str">
        <f>IF($L277="","",IF($C277&gt;$M277,Overview!$B$26,IFERROR(INDEX(Fields!$F$5:$F$48,MATCH($D277,Fields!$A$5:$A$48,0)),0)))</f>
        <v/>
      </c>
      <c r="H277" s="22" t="str">
        <f t="shared" si="4"/>
        <v/>
      </c>
      <c r="I277" s="21" t="str">
        <f>IF($L277="","",IF($C277&gt;$M277,IF(Overview!$B$26=1,"uint8","uint8["&amp;Overview!$B$26&amp;"]"),IFERROR(INDEX(Fields!$E$5:$E$48,MATCH($D277,Fields!$A$5:$A$48,0)),"MISSING")))</f>
        <v/>
      </c>
      <c r="J277" s="21" t="str">
        <f>IF($L277="","",IF($C277&gt;$M277,"Fixed end-of-frame delimiter, value "&amp;Overview!$B$25&amp;".",IFERROR(INDEX(Fields!$G$5:$G$48,MATCH($D277,Fields!$A$5:$A$48,0)),"MISSING")))</f>
        <v/>
      </c>
      <c r="K277" s="21" t="str">
        <f>IF($L277="","",IF($C277&gt;$M277,"n/a",IFERROR(INDEX(Fields!$H$5:$H$48,MATCH($D277,Fields!$A$5:$A$48,0)),"MISSING")))</f>
        <v/>
      </c>
      <c r="L277" s="23" t="str">
        <f>IF(ROWS($L$5:L277)&gt;MAX('Packet Builder'!$O$5:$O$34),"",COUNTIF('Packet Builder'!$O$5:$O$34,"&lt;"&amp;ROWS($L$5:L277))+1)</f>
        <v/>
      </c>
      <c r="M277" s="23" t="str">
        <f>IF($L277="","",INDEX('Packet Builder'!$F$5:$F$34,$L277))</f>
        <v/>
      </c>
    </row>
    <row r="278" spans="1:13" x14ac:dyDescent="0.35">
      <c r="A278" s="21" t="str">
        <f>IF($L278="","",INDEX('Packet Builder'!$A$5:$A$34,$L278))</f>
        <v/>
      </c>
      <c r="B278" s="21" t="str">
        <f>IF($L278="","",INDEX('Packet Builder'!$B$5:$B$34,$L278))</f>
        <v/>
      </c>
      <c r="C278" s="22" t="str">
        <f>IF($L278="","",ROWS($L$5:L278)-(INDEX('Packet Builder'!$O$5:$O$34,$L278)-$M278-1))</f>
        <v/>
      </c>
      <c r="D278" s="22" t="str">
        <f>IF($L278="","",IF($C278&gt;$M278,"EOF",IFERROR(VALUE(TRIM(MID(SUBSTITUTE(INDEX('Packet Builder'!$P$5:$P$34,$L278),",",REPT(" ",LEN(INDEX('Packet Builder'!$P$5:$P$34,$L278)))),($C278-1)*LEN(INDEX('Packet Builder'!$P$5:$P$34,$L278))+1,LEN(INDEX('Packet Builder'!$P$5:$P$34,$L278))))),"ERR")))</f>
        <v/>
      </c>
      <c r="E278" s="21" t="str">
        <f>IF($L278="","",IF($C278&gt;$M278,"End of Frame Delimiter",IFERROR(INDEX(Fields!$B$5:$B$48,MATCH($D278,Fields!$A$5:$A$48,0)),"MISSING")))</f>
        <v/>
      </c>
      <c r="F278" s="22" t="str">
        <f>IF($L278="","",SUMIF($L$5:L278,L278,$G$5:G278)-G278)</f>
        <v/>
      </c>
      <c r="G278" s="22" t="str">
        <f>IF($L278="","",IF($C278&gt;$M278,Overview!$B$26,IFERROR(INDEX(Fields!$F$5:$F$48,MATCH($D278,Fields!$A$5:$A$48,0)),0)))</f>
        <v/>
      </c>
      <c r="H278" s="22" t="str">
        <f t="shared" si="4"/>
        <v/>
      </c>
      <c r="I278" s="21" t="str">
        <f>IF($L278="","",IF($C278&gt;$M278,IF(Overview!$B$26=1,"uint8","uint8["&amp;Overview!$B$26&amp;"]"),IFERROR(INDEX(Fields!$E$5:$E$48,MATCH($D278,Fields!$A$5:$A$48,0)),"MISSING")))</f>
        <v/>
      </c>
      <c r="J278" s="21" t="str">
        <f>IF($L278="","",IF($C278&gt;$M278,"Fixed end-of-frame delimiter, value "&amp;Overview!$B$25&amp;".",IFERROR(INDEX(Fields!$G$5:$G$48,MATCH($D278,Fields!$A$5:$A$48,0)),"MISSING")))</f>
        <v/>
      </c>
      <c r="K278" s="21" t="str">
        <f>IF($L278="","",IF($C278&gt;$M278,"n/a",IFERROR(INDEX(Fields!$H$5:$H$48,MATCH($D278,Fields!$A$5:$A$48,0)),"MISSING")))</f>
        <v/>
      </c>
      <c r="L278" s="23" t="str">
        <f>IF(ROWS($L$5:L278)&gt;MAX('Packet Builder'!$O$5:$O$34),"",COUNTIF('Packet Builder'!$O$5:$O$34,"&lt;"&amp;ROWS($L$5:L278))+1)</f>
        <v/>
      </c>
      <c r="M278" s="23" t="str">
        <f>IF($L278="","",INDEX('Packet Builder'!$F$5:$F$34,$L278))</f>
        <v/>
      </c>
    </row>
    <row r="279" spans="1:13" x14ac:dyDescent="0.35">
      <c r="A279" s="21" t="str">
        <f>IF($L279="","",INDEX('Packet Builder'!$A$5:$A$34,$L279))</f>
        <v/>
      </c>
      <c r="B279" s="21" t="str">
        <f>IF($L279="","",INDEX('Packet Builder'!$B$5:$B$34,$L279))</f>
        <v/>
      </c>
      <c r="C279" s="22" t="str">
        <f>IF($L279="","",ROWS($L$5:L279)-(INDEX('Packet Builder'!$O$5:$O$34,$L279)-$M279-1))</f>
        <v/>
      </c>
      <c r="D279" s="22" t="str">
        <f>IF($L279="","",IF($C279&gt;$M279,"EOF",IFERROR(VALUE(TRIM(MID(SUBSTITUTE(INDEX('Packet Builder'!$P$5:$P$34,$L279),",",REPT(" ",LEN(INDEX('Packet Builder'!$P$5:$P$34,$L279)))),($C279-1)*LEN(INDEX('Packet Builder'!$P$5:$P$34,$L279))+1,LEN(INDEX('Packet Builder'!$P$5:$P$34,$L279))))),"ERR")))</f>
        <v/>
      </c>
      <c r="E279" s="21" t="str">
        <f>IF($L279="","",IF($C279&gt;$M279,"End of Frame Delimiter",IFERROR(INDEX(Fields!$B$5:$B$48,MATCH($D279,Fields!$A$5:$A$48,0)),"MISSING")))</f>
        <v/>
      </c>
      <c r="F279" s="22" t="str">
        <f>IF($L279="","",SUMIF($L$5:L279,L279,$G$5:G279)-G279)</f>
        <v/>
      </c>
      <c r="G279" s="22" t="str">
        <f>IF($L279="","",IF($C279&gt;$M279,Overview!$B$26,IFERROR(INDEX(Fields!$F$5:$F$48,MATCH($D279,Fields!$A$5:$A$48,0)),0)))</f>
        <v/>
      </c>
      <c r="H279" s="22" t="str">
        <f t="shared" si="4"/>
        <v/>
      </c>
      <c r="I279" s="21" t="str">
        <f>IF($L279="","",IF($C279&gt;$M279,IF(Overview!$B$26=1,"uint8","uint8["&amp;Overview!$B$26&amp;"]"),IFERROR(INDEX(Fields!$E$5:$E$48,MATCH($D279,Fields!$A$5:$A$48,0)),"MISSING")))</f>
        <v/>
      </c>
      <c r="J279" s="21" t="str">
        <f>IF($L279="","",IF($C279&gt;$M279,"Fixed end-of-frame delimiter, value "&amp;Overview!$B$25&amp;".",IFERROR(INDEX(Fields!$G$5:$G$48,MATCH($D279,Fields!$A$5:$A$48,0)),"MISSING")))</f>
        <v/>
      </c>
      <c r="K279" s="21" t="str">
        <f>IF($L279="","",IF($C279&gt;$M279,"n/a",IFERROR(INDEX(Fields!$H$5:$H$48,MATCH($D279,Fields!$A$5:$A$48,0)),"MISSING")))</f>
        <v/>
      </c>
      <c r="L279" s="23" t="str">
        <f>IF(ROWS($L$5:L279)&gt;MAX('Packet Builder'!$O$5:$O$34),"",COUNTIF('Packet Builder'!$O$5:$O$34,"&lt;"&amp;ROWS($L$5:L279))+1)</f>
        <v/>
      </c>
      <c r="M279" s="23" t="str">
        <f>IF($L279="","",INDEX('Packet Builder'!$F$5:$F$34,$L279))</f>
        <v/>
      </c>
    </row>
    <row r="280" spans="1:13" x14ac:dyDescent="0.35">
      <c r="A280" s="21" t="str">
        <f>IF($L280="","",INDEX('Packet Builder'!$A$5:$A$34,$L280))</f>
        <v/>
      </c>
      <c r="B280" s="21" t="str">
        <f>IF($L280="","",INDEX('Packet Builder'!$B$5:$B$34,$L280))</f>
        <v/>
      </c>
      <c r="C280" s="22" t="str">
        <f>IF($L280="","",ROWS($L$5:L280)-(INDEX('Packet Builder'!$O$5:$O$34,$L280)-$M280-1))</f>
        <v/>
      </c>
      <c r="D280" s="22" t="str">
        <f>IF($L280="","",IF($C280&gt;$M280,"EOF",IFERROR(VALUE(TRIM(MID(SUBSTITUTE(INDEX('Packet Builder'!$P$5:$P$34,$L280),",",REPT(" ",LEN(INDEX('Packet Builder'!$P$5:$P$34,$L280)))),($C280-1)*LEN(INDEX('Packet Builder'!$P$5:$P$34,$L280))+1,LEN(INDEX('Packet Builder'!$P$5:$P$34,$L280))))),"ERR")))</f>
        <v/>
      </c>
      <c r="E280" s="21" t="str">
        <f>IF($L280="","",IF($C280&gt;$M280,"End of Frame Delimiter",IFERROR(INDEX(Fields!$B$5:$B$48,MATCH($D280,Fields!$A$5:$A$48,0)),"MISSING")))</f>
        <v/>
      </c>
      <c r="F280" s="22" t="str">
        <f>IF($L280="","",SUMIF($L$5:L280,L280,$G$5:G280)-G280)</f>
        <v/>
      </c>
      <c r="G280" s="22" t="str">
        <f>IF($L280="","",IF($C280&gt;$M280,Overview!$B$26,IFERROR(INDEX(Fields!$F$5:$F$48,MATCH($D280,Fields!$A$5:$A$48,0)),0)))</f>
        <v/>
      </c>
      <c r="H280" s="22" t="str">
        <f t="shared" si="4"/>
        <v/>
      </c>
      <c r="I280" s="21" t="str">
        <f>IF($L280="","",IF($C280&gt;$M280,IF(Overview!$B$26=1,"uint8","uint8["&amp;Overview!$B$26&amp;"]"),IFERROR(INDEX(Fields!$E$5:$E$48,MATCH($D280,Fields!$A$5:$A$48,0)),"MISSING")))</f>
        <v/>
      </c>
      <c r="J280" s="21" t="str">
        <f>IF($L280="","",IF($C280&gt;$M280,"Fixed end-of-frame delimiter, value "&amp;Overview!$B$25&amp;".",IFERROR(INDEX(Fields!$G$5:$G$48,MATCH($D280,Fields!$A$5:$A$48,0)),"MISSING")))</f>
        <v/>
      </c>
      <c r="K280" s="21" t="str">
        <f>IF($L280="","",IF($C280&gt;$M280,"n/a",IFERROR(INDEX(Fields!$H$5:$H$48,MATCH($D280,Fields!$A$5:$A$48,0)),"MISSING")))</f>
        <v/>
      </c>
      <c r="L280" s="23" t="str">
        <f>IF(ROWS($L$5:L280)&gt;MAX('Packet Builder'!$O$5:$O$34),"",COUNTIF('Packet Builder'!$O$5:$O$34,"&lt;"&amp;ROWS($L$5:L280))+1)</f>
        <v/>
      </c>
      <c r="M280" s="23" t="str">
        <f>IF($L280="","",INDEX('Packet Builder'!$F$5:$F$34,$L280))</f>
        <v/>
      </c>
    </row>
    <row r="281" spans="1:13" x14ac:dyDescent="0.35">
      <c r="A281" s="21" t="str">
        <f>IF($L281="","",INDEX('Packet Builder'!$A$5:$A$34,$L281))</f>
        <v/>
      </c>
      <c r="B281" s="21" t="str">
        <f>IF($L281="","",INDEX('Packet Builder'!$B$5:$B$34,$L281))</f>
        <v/>
      </c>
      <c r="C281" s="22" t="str">
        <f>IF($L281="","",ROWS($L$5:L281)-(INDEX('Packet Builder'!$O$5:$O$34,$L281)-$M281-1))</f>
        <v/>
      </c>
      <c r="D281" s="22" t="str">
        <f>IF($L281="","",IF($C281&gt;$M281,"EOF",IFERROR(VALUE(TRIM(MID(SUBSTITUTE(INDEX('Packet Builder'!$P$5:$P$34,$L281),",",REPT(" ",LEN(INDEX('Packet Builder'!$P$5:$P$34,$L281)))),($C281-1)*LEN(INDEX('Packet Builder'!$P$5:$P$34,$L281))+1,LEN(INDEX('Packet Builder'!$P$5:$P$34,$L281))))),"ERR")))</f>
        <v/>
      </c>
      <c r="E281" s="21" t="str">
        <f>IF($L281="","",IF($C281&gt;$M281,"End of Frame Delimiter",IFERROR(INDEX(Fields!$B$5:$B$48,MATCH($D281,Fields!$A$5:$A$48,0)),"MISSING")))</f>
        <v/>
      </c>
      <c r="F281" s="22" t="str">
        <f>IF($L281="","",SUMIF($L$5:L281,L281,$G$5:G281)-G281)</f>
        <v/>
      </c>
      <c r="G281" s="22" t="str">
        <f>IF($L281="","",IF($C281&gt;$M281,Overview!$B$26,IFERROR(INDEX(Fields!$F$5:$F$48,MATCH($D281,Fields!$A$5:$A$48,0)),0)))</f>
        <v/>
      </c>
      <c r="H281" s="22" t="str">
        <f t="shared" si="4"/>
        <v/>
      </c>
      <c r="I281" s="21" t="str">
        <f>IF($L281="","",IF($C281&gt;$M281,IF(Overview!$B$26=1,"uint8","uint8["&amp;Overview!$B$26&amp;"]"),IFERROR(INDEX(Fields!$E$5:$E$48,MATCH($D281,Fields!$A$5:$A$48,0)),"MISSING")))</f>
        <v/>
      </c>
      <c r="J281" s="21" t="str">
        <f>IF($L281="","",IF($C281&gt;$M281,"Fixed end-of-frame delimiter, value "&amp;Overview!$B$25&amp;".",IFERROR(INDEX(Fields!$G$5:$G$48,MATCH($D281,Fields!$A$5:$A$48,0)),"MISSING")))</f>
        <v/>
      </c>
      <c r="K281" s="21" t="str">
        <f>IF($L281="","",IF($C281&gt;$M281,"n/a",IFERROR(INDEX(Fields!$H$5:$H$48,MATCH($D281,Fields!$A$5:$A$48,0)),"MISSING")))</f>
        <v/>
      </c>
      <c r="L281" s="23" t="str">
        <f>IF(ROWS($L$5:L281)&gt;MAX('Packet Builder'!$O$5:$O$34),"",COUNTIF('Packet Builder'!$O$5:$O$34,"&lt;"&amp;ROWS($L$5:L281))+1)</f>
        <v/>
      </c>
      <c r="M281" s="23" t="str">
        <f>IF($L281="","",INDEX('Packet Builder'!$F$5:$F$34,$L281))</f>
        <v/>
      </c>
    </row>
    <row r="282" spans="1:13" x14ac:dyDescent="0.35">
      <c r="A282" s="21" t="str">
        <f>IF($L282="","",INDEX('Packet Builder'!$A$5:$A$34,$L282))</f>
        <v/>
      </c>
      <c r="B282" s="21" t="str">
        <f>IF($L282="","",INDEX('Packet Builder'!$B$5:$B$34,$L282))</f>
        <v/>
      </c>
      <c r="C282" s="22" t="str">
        <f>IF($L282="","",ROWS($L$5:L282)-(INDEX('Packet Builder'!$O$5:$O$34,$L282)-$M282-1))</f>
        <v/>
      </c>
      <c r="D282" s="22" t="str">
        <f>IF($L282="","",IF($C282&gt;$M282,"EOF",IFERROR(VALUE(TRIM(MID(SUBSTITUTE(INDEX('Packet Builder'!$P$5:$P$34,$L282),",",REPT(" ",LEN(INDEX('Packet Builder'!$P$5:$P$34,$L282)))),($C282-1)*LEN(INDEX('Packet Builder'!$P$5:$P$34,$L282))+1,LEN(INDEX('Packet Builder'!$P$5:$P$34,$L282))))),"ERR")))</f>
        <v/>
      </c>
      <c r="E282" s="21" t="str">
        <f>IF($L282="","",IF($C282&gt;$M282,"End of Frame Delimiter",IFERROR(INDEX(Fields!$B$5:$B$48,MATCH($D282,Fields!$A$5:$A$48,0)),"MISSING")))</f>
        <v/>
      </c>
      <c r="F282" s="22" t="str">
        <f>IF($L282="","",SUMIF($L$5:L282,L282,$G$5:G282)-G282)</f>
        <v/>
      </c>
      <c r="G282" s="22" t="str">
        <f>IF($L282="","",IF($C282&gt;$M282,Overview!$B$26,IFERROR(INDEX(Fields!$F$5:$F$48,MATCH($D282,Fields!$A$5:$A$48,0)),0)))</f>
        <v/>
      </c>
      <c r="H282" s="22" t="str">
        <f t="shared" si="4"/>
        <v/>
      </c>
      <c r="I282" s="21" t="str">
        <f>IF($L282="","",IF($C282&gt;$M282,IF(Overview!$B$26=1,"uint8","uint8["&amp;Overview!$B$26&amp;"]"),IFERROR(INDEX(Fields!$E$5:$E$48,MATCH($D282,Fields!$A$5:$A$48,0)),"MISSING")))</f>
        <v/>
      </c>
      <c r="J282" s="21" t="str">
        <f>IF($L282="","",IF($C282&gt;$M282,"Fixed end-of-frame delimiter, value "&amp;Overview!$B$25&amp;".",IFERROR(INDEX(Fields!$G$5:$G$48,MATCH($D282,Fields!$A$5:$A$48,0)),"MISSING")))</f>
        <v/>
      </c>
      <c r="K282" s="21" t="str">
        <f>IF($L282="","",IF($C282&gt;$M282,"n/a",IFERROR(INDEX(Fields!$H$5:$H$48,MATCH($D282,Fields!$A$5:$A$48,0)),"MISSING")))</f>
        <v/>
      </c>
      <c r="L282" s="23" t="str">
        <f>IF(ROWS($L$5:L282)&gt;MAX('Packet Builder'!$O$5:$O$34),"",COUNTIF('Packet Builder'!$O$5:$O$34,"&lt;"&amp;ROWS($L$5:L282))+1)</f>
        <v/>
      </c>
      <c r="M282" s="23" t="str">
        <f>IF($L282="","",INDEX('Packet Builder'!$F$5:$F$34,$L282))</f>
        <v/>
      </c>
    </row>
    <row r="283" spans="1:13" x14ac:dyDescent="0.35">
      <c r="A283" s="21" t="str">
        <f>IF($L283="","",INDEX('Packet Builder'!$A$5:$A$34,$L283))</f>
        <v/>
      </c>
      <c r="B283" s="21" t="str">
        <f>IF($L283="","",INDEX('Packet Builder'!$B$5:$B$34,$L283))</f>
        <v/>
      </c>
      <c r="C283" s="22" t="str">
        <f>IF($L283="","",ROWS($L$5:L283)-(INDEX('Packet Builder'!$O$5:$O$34,$L283)-$M283-1))</f>
        <v/>
      </c>
      <c r="D283" s="22" t="str">
        <f>IF($L283="","",IF($C283&gt;$M283,"EOF",IFERROR(VALUE(TRIM(MID(SUBSTITUTE(INDEX('Packet Builder'!$P$5:$P$34,$L283),",",REPT(" ",LEN(INDEX('Packet Builder'!$P$5:$P$34,$L283)))),($C283-1)*LEN(INDEX('Packet Builder'!$P$5:$P$34,$L283))+1,LEN(INDEX('Packet Builder'!$P$5:$P$34,$L283))))),"ERR")))</f>
        <v/>
      </c>
      <c r="E283" s="21" t="str">
        <f>IF($L283="","",IF($C283&gt;$M283,"End of Frame Delimiter",IFERROR(INDEX(Fields!$B$5:$B$48,MATCH($D283,Fields!$A$5:$A$48,0)),"MISSING")))</f>
        <v/>
      </c>
      <c r="F283" s="22" t="str">
        <f>IF($L283="","",SUMIF($L$5:L283,L283,$G$5:G283)-G283)</f>
        <v/>
      </c>
      <c r="G283" s="22" t="str">
        <f>IF($L283="","",IF($C283&gt;$M283,Overview!$B$26,IFERROR(INDEX(Fields!$F$5:$F$48,MATCH($D283,Fields!$A$5:$A$48,0)),0)))</f>
        <v/>
      </c>
      <c r="H283" s="22" t="str">
        <f t="shared" si="4"/>
        <v/>
      </c>
      <c r="I283" s="21" t="str">
        <f>IF($L283="","",IF($C283&gt;$M283,IF(Overview!$B$26=1,"uint8","uint8["&amp;Overview!$B$26&amp;"]"),IFERROR(INDEX(Fields!$E$5:$E$48,MATCH($D283,Fields!$A$5:$A$48,0)),"MISSING")))</f>
        <v/>
      </c>
      <c r="J283" s="21" t="str">
        <f>IF($L283="","",IF($C283&gt;$M283,"Fixed end-of-frame delimiter, value "&amp;Overview!$B$25&amp;".",IFERROR(INDEX(Fields!$G$5:$G$48,MATCH($D283,Fields!$A$5:$A$48,0)),"MISSING")))</f>
        <v/>
      </c>
      <c r="K283" s="21" t="str">
        <f>IF($L283="","",IF($C283&gt;$M283,"n/a",IFERROR(INDEX(Fields!$H$5:$H$48,MATCH($D283,Fields!$A$5:$A$48,0)),"MISSING")))</f>
        <v/>
      </c>
      <c r="L283" s="23" t="str">
        <f>IF(ROWS($L$5:L283)&gt;MAX('Packet Builder'!$O$5:$O$34),"",COUNTIF('Packet Builder'!$O$5:$O$34,"&lt;"&amp;ROWS($L$5:L283))+1)</f>
        <v/>
      </c>
      <c r="M283" s="23" t="str">
        <f>IF($L283="","",INDEX('Packet Builder'!$F$5:$F$34,$L283))</f>
        <v/>
      </c>
    </row>
    <row r="284" spans="1:13" x14ac:dyDescent="0.35">
      <c r="A284" s="21" t="str">
        <f>IF($L284="","",INDEX('Packet Builder'!$A$5:$A$34,$L284))</f>
        <v/>
      </c>
      <c r="B284" s="21" t="str">
        <f>IF($L284="","",INDEX('Packet Builder'!$B$5:$B$34,$L284))</f>
        <v/>
      </c>
      <c r="C284" s="22" t="str">
        <f>IF($L284="","",ROWS($L$5:L284)-(INDEX('Packet Builder'!$O$5:$O$34,$L284)-$M284-1))</f>
        <v/>
      </c>
      <c r="D284" s="22" t="str">
        <f>IF($L284="","",IF($C284&gt;$M284,"EOF",IFERROR(VALUE(TRIM(MID(SUBSTITUTE(INDEX('Packet Builder'!$P$5:$P$34,$L284),",",REPT(" ",LEN(INDEX('Packet Builder'!$P$5:$P$34,$L284)))),($C284-1)*LEN(INDEX('Packet Builder'!$P$5:$P$34,$L284))+1,LEN(INDEX('Packet Builder'!$P$5:$P$34,$L284))))),"ERR")))</f>
        <v/>
      </c>
      <c r="E284" s="21" t="str">
        <f>IF($L284="","",IF($C284&gt;$M284,"End of Frame Delimiter",IFERROR(INDEX(Fields!$B$5:$B$48,MATCH($D284,Fields!$A$5:$A$48,0)),"MISSING")))</f>
        <v/>
      </c>
      <c r="F284" s="22" t="str">
        <f>IF($L284="","",SUMIF($L$5:L284,L284,$G$5:G284)-G284)</f>
        <v/>
      </c>
      <c r="G284" s="22" t="str">
        <f>IF($L284="","",IF($C284&gt;$M284,Overview!$B$26,IFERROR(INDEX(Fields!$F$5:$F$48,MATCH($D284,Fields!$A$5:$A$48,0)),0)))</f>
        <v/>
      </c>
      <c r="H284" s="22" t="str">
        <f t="shared" si="4"/>
        <v/>
      </c>
      <c r="I284" s="21" t="str">
        <f>IF($L284="","",IF($C284&gt;$M284,IF(Overview!$B$26=1,"uint8","uint8["&amp;Overview!$B$26&amp;"]"),IFERROR(INDEX(Fields!$E$5:$E$48,MATCH($D284,Fields!$A$5:$A$48,0)),"MISSING")))</f>
        <v/>
      </c>
      <c r="J284" s="21" t="str">
        <f>IF($L284="","",IF($C284&gt;$M284,"Fixed end-of-frame delimiter, value "&amp;Overview!$B$25&amp;".",IFERROR(INDEX(Fields!$G$5:$G$48,MATCH($D284,Fields!$A$5:$A$48,0)),"MISSING")))</f>
        <v/>
      </c>
      <c r="K284" s="21" t="str">
        <f>IF($L284="","",IF($C284&gt;$M284,"n/a",IFERROR(INDEX(Fields!$H$5:$H$48,MATCH($D284,Fields!$A$5:$A$48,0)),"MISSING")))</f>
        <v/>
      </c>
      <c r="L284" s="23" t="str">
        <f>IF(ROWS($L$5:L284)&gt;MAX('Packet Builder'!$O$5:$O$34),"",COUNTIF('Packet Builder'!$O$5:$O$34,"&lt;"&amp;ROWS($L$5:L284))+1)</f>
        <v/>
      </c>
      <c r="M284" s="23" t="str">
        <f>IF($L284="","",INDEX('Packet Builder'!$F$5:$F$34,$L284))</f>
        <v/>
      </c>
    </row>
    <row r="285" spans="1:13" x14ac:dyDescent="0.35">
      <c r="A285" s="21" t="str">
        <f>IF($L285="","",INDEX('Packet Builder'!$A$5:$A$34,$L285))</f>
        <v/>
      </c>
      <c r="B285" s="21" t="str">
        <f>IF($L285="","",INDEX('Packet Builder'!$B$5:$B$34,$L285))</f>
        <v/>
      </c>
      <c r="C285" s="22" t="str">
        <f>IF($L285="","",ROWS($L$5:L285)-(INDEX('Packet Builder'!$O$5:$O$34,$L285)-$M285-1))</f>
        <v/>
      </c>
      <c r="D285" s="22" t="str">
        <f>IF($L285="","",IF($C285&gt;$M285,"EOF",IFERROR(VALUE(TRIM(MID(SUBSTITUTE(INDEX('Packet Builder'!$P$5:$P$34,$L285),",",REPT(" ",LEN(INDEX('Packet Builder'!$P$5:$P$34,$L285)))),($C285-1)*LEN(INDEX('Packet Builder'!$P$5:$P$34,$L285))+1,LEN(INDEX('Packet Builder'!$P$5:$P$34,$L285))))),"ERR")))</f>
        <v/>
      </c>
      <c r="E285" s="21" t="str">
        <f>IF($L285="","",IF($C285&gt;$M285,"End of Frame Delimiter",IFERROR(INDEX(Fields!$B$5:$B$48,MATCH($D285,Fields!$A$5:$A$48,0)),"MISSING")))</f>
        <v/>
      </c>
      <c r="F285" s="22" t="str">
        <f>IF($L285="","",SUMIF($L$5:L285,L285,$G$5:G285)-G285)</f>
        <v/>
      </c>
      <c r="G285" s="22" t="str">
        <f>IF($L285="","",IF($C285&gt;$M285,Overview!$B$26,IFERROR(INDEX(Fields!$F$5:$F$48,MATCH($D285,Fields!$A$5:$A$48,0)),0)))</f>
        <v/>
      </c>
      <c r="H285" s="22" t="str">
        <f t="shared" si="4"/>
        <v/>
      </c>
      <c r="I285" s="21" t="str">
        <f>IF($L285="","",IF($C285&gt;$M285,IF(Overview!$B$26=1,"uint8","uint8["&amp;Overview!$B$26&amp;"]"),IFERROR(INDEX(Fields!$E$5:$E$48,MATCH($D285,Fields!$A$5:$A$48,0)),"MISSING")))</f>
        <v/>
      </c>
      <c r="J285" s="21" t="str">
        <f>IF($L285="","",IF($C285&gt;$M285,"Fixed end-of-frame delimiter, value "&amp;Overview!$B$25&amp;".",IFERROR(INDEX(Fields!$G$5:$G$48,MATCH($D285,Fields!$A$5:$A$48,0)),"MISSING")))</f>
        <v/>
      </c>
      <c r="K285" s="21" t="str">
        <f>IF($L285="","",IF($C285&gt;$M285,"n/a",IFERROR(INDEX(Fields!$H$5:$H$48,MATCH($D285,Fields!$A$5:$A$48,0)),"MISSING")))</f>
        <v/>
      </c>
      <c r="L285" s="23" t="str">
        <f>IF(ROWS($L$5:L285)&gt;MAX('Packet Builder'!$O$5:$O$34),"",COUNTIF('Packet Builder'!$O$5:$O$34,"&lt;"&amp;ROWS($L$5:L285))+1)</f>
        <v/>
      </c>
      <c r="M285" s="23" t="str">
        <f>IF($L285="","",INDEX('Packet Builder'!$F$5:$F$34,$L285))</f>
        <v/>
      </c>
    </row>
    <row r="286" spans="1:13" x14ac:dyDescent="0.35">
      <c r="A286" s="21" t="str">
        <f>IF($L286="","",INDEX('Packet Builder'!$A$5:$A$34,$L286))</f>
        <v/>
      </c>
      <c r="B286" s="21" t="str">
        <f>IF($L286="","",INDEX('Packet Builder'!$B$5:$B$34,$L286))</f>
        <v/>
      </c>
      <c r="C286" s="22" t="str">
        <f>IF($L286="","",ROWS($L$5:L286)-(INDEX('Packet Builder'!$O$5:$O$34,$L286)-$M286-1))</f>
        <v/>
      </c>
      <c r="D286" s="22" t="str">
        <f>IF($L286="","",IF($C286&gt;$M286,"EOF",IFERROR(VALUE(TRIM(MID(SUBSTITUTE(INDEX('Packet Builder'!$P$5:$P$34,$L286),",",REPT(" ",LEN(INDEX('Packet Builder'!$P$5:$P$34,$L286)))),($C286-1)*LEN(INDEX('Packet Builder'!$P$5:$P$34,$L286))+1,LEN(INDEX('Packet Builder'!$P$5:$P$34,$L286))))),"ERR")))</f>
        <v/>
      </c>
      <c r="E286" s="21" t="str">
        <f>IF($L286="","",IF($C286&gt;$M286,"End of Frame Delimiter",IFERROR(INDEX(Fields!$B$5:$B$48,MATCH($D286,Fields!$A$5:$A$48,0)),"MISSING")))</f>
        <v/>
      </c>
      <c r="F286" s="22" t="str">
        <f>IF($L286="","",SUMIF($L$5:L286,L286,$G$5:G286)-G286)</f>
        <v/>
      </c>
      <c r="G286" s="22" t="str">
        <f>IF($L286="","",IF($C286&gt;$M286,Overview!$B$26,IFERROR(INDEX(Fields!$F$5:$F$48,MATCH($D286,Fields!$A$5:$A$48,0)),0)))</f>
        <v/>
      </c>
      <c r="H286" s="22" t="str">
        <f t="shared" si="4"/>
        <v/>
      </c>
      <c r="I286" s="21" t="str">
        <f>IF($L286="","",IF($C286&gt;$M286,IF(Overview!$B$26=1,"uint8","uint8["&amp;Overview!$B$26&amp;"]"),IFERROR(INDEX(Fields!$E$5:$E$48,MATCH($D286,Fields!$A$5:$A$48,0)),"MISSING")))</f>
        <v/>
      </c>
      <c r="J286" s="21" t="str">
        <f>IF($L286="","",IF($C286&gt;$M286,"Fixed end-of-frame delimiter, value "&amp;Overview!$B$25&amp;".",IFERROR(INDEX(Fields!$G$5:$G$48,MATCH($D286,Fields!$A$5:$A$48,0)),"MISSING")))</f>
        <v/>
      </c>
      <c r="K286" s="21" t="str">
        <f>IF($L286="","",IF($C286&gt;$M286,"n/a",IFERROR(INDEX(Fields!$H$5:$H$48,MATCH($D286,Fields!$A$5:$A$48,0)),"MISSING")))</f>
        <v/>
      </c>
      <c r="L286" s="23" t="str">
        <f>IF(ROWS($L$5:L286)&gt;MAX('Packet Builder'!$O$5:$O$34),"",COUNTIF('Packet Builder'!$O$5:$O$34,"&lt;"&amp;ROWS($L$5:L286))+1)</f>
        <v/>
      </c>
      <c r="M286" s="23" t="str">
        <f>IF($L286="","",INDEX('Packet Builder'!$F$5:$F$34,$L286))</f>
        <v/>
      </c>
    </row>
    <row r="287" spans="1:13" x14ac:dyDescent="0.35">
      <c r="A287" s="21" t="str">
        <f>IF($L287="","",INDEX('Packet Builder'!$A$5:$A$34,$L287))</f>
        <v/>
      </c>
      <c r="B287" s="21" t="str">
        <f>IF($L287="","",INDEX('Packet Builder'!$B$5:$B$34,$L287))</f>
        <v/>
      </c>
      <c r="C287" s="22" t="str">
        <f>IF($L287="","",ROWS($L$5:L287)-(INDEX('Packet Builder'!$O$5:$O$34,$L287)-$M287-1))</f>
        <v/>
      </c>
      <c r="D287" s="22" t="str">
        <f>IF($L287="","",IF($C287&gt;$M287,"EOF",IFERROR(VALUE(TRIM(MID(SUBSTITUTE(INDEX('Packet Builder'!$P$5:$P$34,$L287),",",REPT(" ",LEN(INDEX('Packet Builder'!$P$5:$P$34,$L287)))),($C287-1)*LEN(INDEX('Packet Builder'!$P$5:$P$34,$L287))+1,LEN(INDEX('Packet Builder'!$P$5:$P$34,$L287))))),"ERR")))</f>
        <v/>
      </c>
      <c r="E287" s="21" t="str">
        <f>IF($L287="","",IF($C287&gt;$M287,"End of Frame Delimiter",IFERROR(INDEX(Fields!$B$5:$B$48,MATCH($D287,Fields!$A$5:$A$48,0)),"MISSING")))</f>
        <v/>
      </c>
      <c r="F287" s="22" t="str">
        <f>IF($L287="","",SUMIF($L$5:L287,L287,$G$5:G287)-G287)</f>
        <v/>
      </c>
      <c r="G287" s="22" t="str">
        <f>IF($L287="","",IF($C287&gt;$M287,Overview!$B$26,IFERROR(INDEX(Fields!$F$5:$F$48,MATCH($D287,Fields!$A$5:$A$48,0)),0)))</f>
        <v/>
      </c>
      <c r="H287" s="22" t="str">
        <f t="shared" si="4"/>
        <v/>
      </c>
      <c r="I287" s="21" t="str">
        <f>IF($L287="","",IF($C287&gt;$M287,IF(Overview!$B$26=1,"uint8","uint8["&amp;Overview!$B$26&amp;"]"),IFERROR(INDEX(Fields!$E$5:$E$48,MATCH($D287,Fields!$A$5:$A$48,0)),"MISSING")))</f>
        <v/>
      </c>
      <c r="J287" s="21" t="str">
        <f>IF($L287="","",IF($C287&gt;$M287,"Fixed end-of-frame delimiter, value "&amp;Overview!$B$25&amp;".",IFERROR(INDEX(Fields!$G$5:$G$48,MATCH($D287,Fields!$A$5:$A$48,0)),"MISSING")))</f>
        <v/>
      </c>
      <c r="K287" s="21" t="str">
        <f>IF($L287="","",IF($C287&gt;$M287,"n/a",IFERROR(INDEX(Fields!$H$5:$H$48,MATCH($D287,Fields!$A$5:$A$48,0)),"MISSING")))</f>
        <v/>
      </c>
      <c r="L287" s="23" t="str">
        <f>IF(ROWS($L$5:L287)&gt;MAX('Packet Builder'!$O$5:$O$34),"",COUNTIF('Packet Builder'!$O$5:$O$34,"&lt;"&amp;ROWS($L$5:L287))+1)</f>
        <v/>
      </c>
      <c r="M287" s="23" t="str">
        <f>IF($L287="","",INDEX('Packet Builder'!$F$5:$F$34,$L287))</f>
        <v/>
      </c>
    </row>
    <row r="288" spans="1:13" x14ac:dyDescent="0.35">
      <c r="A288" s="21" t="str">
        <f>IF($L288="","",INDEX('Packet Builder'!$A$5:$A$34,$L288))</f>
        <v/>
      </c>
      <c r="B288" s="21" t="str">
        <f>IF($L288="","",INDEX('Packet Builder'!$B$5:$B$34,$L288))</f>
        <v/>
      </c>
      <c r="C288" s="22" t="str">
        <f>IF($L288="","",ROWS($L$5:L288)-(INDEX('Packet Builder'!$O$5:$O$34,$L288)-$M288-1))</f>
        <v/>
      </c>
      <c r="D288" s="22" t="str">
        <f>IF($L288="","",IF($C288&gt;$M288,"EOF",IFERROR(VALUE(TRIM(MID(SUBSTITUTE(INDEX('Packet Builder'!$P$5:$P$34,$L288),",",REPT(" ",LEN(INDEX('Packet Builder'!$P$5:$P$34,$L288)))),($C288-1)*LEN(INDEX('Packet Builder'!$P$5:$P$34,$L288))+1,LEN(INDEX('Packet Builder'!$P$5:$P$34,$L288))))),"ERR")))</f>
        <v/>
      </c>
      <c r="E288" s="21" t="str">
        <f>IF($L288="","",IF($C288&gt;$M288,"End of Frame Delimiter",IFERROR(INDEX(Fields!$B$5:$B$48,MATCH($D288,Fields!$A$5:$A$48,0)),"MISSING")))</f>
        <v/>
      </c>
      <c r="F288" s="22" t="str">
        <f>IF($L288="","",SUMIF($L$5:L288,L288,$G$5:G288)-G288)</f>
        <v/>
      </c>
      <c r="G288" s="22" t="str">
        <f>IF($L288="","",IF($C288&gt;$M288,Overview!$B$26,IFERROR(INDEX(Fields!$F$5:$F$48,MATCH($D288,Fields!$A$5:$A$48,0)),0)))</f>
        <v/>
      </c>
      <c r="H288" s="22" t="str">
        <f t="shared" si="4"/>
        <v/>
      </c>
      <c r="I288" s="21" t="str">
        <f>IF($L288="","",IF($C288&gt;$M288,IF(Overview!$B$26=1,"uint8","uint8["&amp;Overview!$B$26&amp;"]"),IFERROR(INDEX(Fields!$E$5:$E$48,MATCH($D288,Fields!$A$5:$A$48,0)),"MISSING")))</f>
        <v/>
      </c>
      <c r="J288" s="21" t="str">
        <f>IF($L288="","",IF($C288&gt;$M288,"Fixed end-of-frame delimiter, value "&amp;Overview!$B$25&amp;".",IFERROR(INDEX(Fields!$G$5:$G$48,MATCH($D288,Fields!$A$5:$A$48,0)),"MISSING")))</f>
        <v/>
      </c>
      <c r="K288" s="21" t="str">
        <f>IF($L288="","",IF($C288&gt;$M288,"n/a",IFERROR(INDEX(Fields!$H$5:$H$48,MATCH($D288,Fields!$A$5:$A$48,0)),"MISSING")))</f>
        <v/>
      </c>
      <c r="L288" s="23" t="str">
        <f>IF(ROWS($L$5:L288)&gt;MAX('Packet Builder'!$O$5:$O$34),"",COUNTIF('Packet Builder'!$O$5:$O$34,"&lt;"&amp;ROWS($L$5:L288))+1)</f>
        <v/>
      </c>
      <c r="M288" s="23" t="str">
        <f>IF($L288="","",INDEX('Packet Builder'!$F$5:$F$34,$L288))</f>
        <v/>
      </c>
    </row>
    <row r="289" spans="1:13" x14ac:dyDescent="0.35">
      <c r="A289" s="21" t="str">
        <f>IF($L289="","",INDEX('Packet Builder'!$A$5:$A$34,$L289))</f>
        <v/>
      </c>
      <c r="B289" s="21" t="str">
        <f>IF($L289="","",INDEX('Packet Builder'!$B$5:$B$34,$L289))</f>
        <v/>
      </c>
      <c r="C289" s="22" t="str">
        <f>IF($L289="","",ROWS($L$5:L289)-(INDEX('Packet Builder'!$O$5:$O$34,$L289)-$M289-1))</f>
        <v/>
      </c>
      <c r="D289" s="22" t="str">
        <f>IF($L289="","",IF($C289&gt;$M289,"EOF",IFERROR(VALUE(TRIM(MID(SUBSTITUTE(INDEX('Packet Builder'!$P$5:$P$34,$L289),",",REPT(" ",LEN(INDEX('Packet Builder'!$P$5:$P$34,$L289)))),($C289-1)*LEN(INDEX('Packet Builder'!$P$5:$P$34,$L289))+1,LEN(INDEX('Packet Builder'!$P$5:$P$34,$L289))))),"ERR")))</f>
        <v/>
      </c>
      <c r="E289" s="21" t="str">
        <f>IF($L289="","",IF($C289&gt;$M289,"End of Frame Delimiter",IFERROR(INDEX(Fields!$B$5:$B$48,MATCH($D289,Fields!$A$5:$A$48,0)),"MISSING")))</f>
        <v/>
      </c>
      <c r="F289" s="22" t="str">
        <f>IF($L289="","",SUMIF($L$5:L289,L289,$G$5:G289)-G289)</f>
        <v/>
      </c>
      <c r="G289" s="22" t="str">
        <f>IF($L289="","",IF($C289&gt;$M289,Overview!$B$26,IFERROR(INDEX(Fields!$F$5:$F$48,MATCH($D289,Fields!$A$5:$A$48,0)),0)))</f>
        <v/>
      </c>
      <c r="H289" s="22" t="str">
        <f t="shared" si="4"/>
        <v/>
      </c>
      <c r="I289" s="21" t="str">
        <f>IF($L289="","",IF($C289&gt;$M289,IF(Overview!$B$26=1,"uint8","uint8["&amp;Overview!$B$26&amp;"]"),IFERROR(INDEX(Fields!$E$5:$E$48,MATCH($D289,Fields!$A$5:$A$48,0)),"MISSING")))</f>
        <v/>
      </c>
      <c r="J289" s="21" t="str">
        <f>IF($L289="","",IF($C289&gt;$M289,"Fixed end-of-frame delimiter, value "&amp;Overview!$B$25&amp;".",IFERROR(INDEX(Fields!$G$5:$G$48,MATCH($D289,Fields!$A$5:$A$48,0)),"MISSING")))</f>
        <v/>
      </c>
      <c r="K289" s="21" t="str">
        <f>IF($L289="","",IF($C289&gt;$M289,"n/a",IFERROR(INDEX(Fields!$H$5:$H$48,MATCH($D289,Fields!$A$5:$A$48,0)),"MISSING")))</f>
        <v/>
      </c>
      <c r="L289" s="23" t="str">
        <f>IF(ROWS($L$5:L289)&gt;MAX('Packet Builder'!$O$5:$O$34),"",COUNTIF('Packet Builder'!$O$5:$O$34,"&lt;"&amp;ROWS($L$5:L289))+1)</f>
        <v/>
      </c>
      <c r="M289" s="23" t="str">
        <f>IF($L289="","",INDEX('Packet Builder'!$F$5:$F$34,$L289))</f>
        <v/>
      </c>
    </row>
    <row r="290" spans="1:13" x14ac:dyDescent="0.35">
      <c r="A290" s="21" t="str">
        <f>IF($L290="","",INDEX('Packet Builder'!$A$5:$A$34,$L290))</f>
        <v/>
      </c>
      <c r="B290" s="21" t="str">
        <f>IF($L290="","",INDEX('Packet Builder'!$B$5:$B$34,$L290))</f>
        <v/>
      </c>
      <c r="C290" s="22" t="str">
        <f>IF($L290="","",ROWS($L$5:L290)-(INDEX('Packet Builder'!$O$5:$O$34,$L290)-$M290-1))</f>
        <v/>
      </c>
      <c r="D290" s="22" t="str">
        <f>IF($L290="","",IF($C290&gt;$M290,"EOF",IFERROR(VALUE(TRIM(MID(SUBSTITUTE(INDEX('Packet Builder'!$P$5:$P$34,$L290),",",REPT(" ",LEN(INDEX('Packet Builder'!$P$5:$P$34,$L290)))),($C290-1)*LEN(INDEX('Packet Builder'!$P$5:$P$34,$L290))+1,LEN(INDEX('Packet Builder'!$P$5:$P$34,$L290))))),"ERR")))</f>
        <v/>
      </c>
      <c r="E290" s="21" t="str">
        <f>IF($L290="","",IF($C290&gt;$M290,"End of Frame Delimiter",IFERROR(INDEX(Fields!$B$5:$B$48,MATCH($D290,Fields!$A$5:$A$48,0)),"MISSING")))</f>
        <v/>
      </c>
      <c r="F290" s="22" t="str">
        <f>IF($L290="","",SUMIF($L$5:L290,L290,$G$5:G290)-G290)</f>
        <v/>
      </c>
      <c r="G290" s="22" t="str">
        <f>IF($L290="","",IF($C290&gt;$M290,Overview!$B$26,IFERROR(INDEX(Fields!$F$5:$F$48,MATCH($D290,Fields!$A$5:$A$48,0)),0)))</f>
        <v/>
      </c>
      <c r="H290" s="22" t="str">
        <f t="shared" si="4"/>
        <v/>
      </c>
      <c r="I290" s="21" t="str">
        <f>IF($L290="","",IF($C290&gt;$M290,IF(Overview!$B$26=1,"uint8","uint8["&amp;Overview!$B$26&amp;"]"),IFERROR(INDEX(Fields!$E$5:$E$48,MATCH($D290,Fields!$A$5:$A$48,0)),"MISSING")))</f>
        <v/>
      </c>
      <c r="J290" s="21" t="str">
        <f>IF($L290="","",IF($C290&gt;$M290,"Fixed end-of-frame delimiter, value "&amp;Overview!$B$25&amp;".",IFERROR(INDEX(Fields!$G$5:$G$48,MATCH($D290,Fields!$A$5:$A$48,0)),"MISSING")))</f>
        <v/>
      </c>
      <c r="K290" s="21" t="str">
        <f>IF($L290="","",IF($C290&gt;$M290,"n/a",IFERROR(INDEX(Fields!$H$5:$H$48,MATCH($D290,Fields!$A$5:$A$48,0)),"MISSING")))</f>
        <v/>
      </c>
      <c r="L290" s="23" t="str">
        <f>IF(ROWS($L$5:L290)&gt;MAX('Packet Builder'!$O$5:$O$34),"",COUNTIF('Packet Builder'!$O$5:$O$34,"&lt;"&amp;ROWS($L$5:L290))+1)</f>
        <v/>
      </c>
      <c r="M290" s="23" t="str">
        <f>IF($L290="","",INDEX('Packet Builder'!$F$5:$F$34,$L290))</f>
        <v/>
      </c>
    </row>
    <row r="291" spans="1:13" x14ac:dyDescent="0.35">
      <c r="A291" s="21" t="str">
        <f>IF($L291="","",INDEX('Packet Builder'!$A$5:$A$34,$L291))</f>
        <v/>
      </c>
      <c r="B291" s="21" t="str">
        <f>IF($L291="","",INDEX('Packet Builder'!$B$5:$B$34,$L291))</f>
        <v/>
      </c>
      <c r="C291" s="22" t="str">
        <f>IF($L291="","",ROWS($L$5:L291)-(INDEX('Packet Builder'!$O$5:$O$34,$L291)-$M291-1))</f>
        <v/>
      </c>
      <c r="D291" s="22" t="str">
        <f>IF($L291="","",IF($C291&gt;$M291,"EOF",IFERROR(VALUE(TRIM(MID(SUBSTITUTE(INDEX('Packet Builder'!$P$5:$P$34,$L291),",",REPT(" ",LEN(INDEX('Packet Builder'!$P$5:$P$34,$L291)))),($C291-1)*LEN(INDEX('Packet Builder'!$P$5:$P$34,$L291))+1,LEN(INDEX('Packet Builder'!$P$5:$P$34,$L291))))),"ERR")))</f>
        <v/>
      </c>
      <c r="E291" s="21" t="str">
        <f>IF($L291="","",IF($C291&gt;$M291,"End of Frame Delimiter",IFERROR(INDEX(Fields!$B$5:$B$48,MATCH($D291,Fields!$A$5:$A$48,0)),"MISSING")))</f>
        <v/>
      </c>
      <c r="F291" s="22" t="str">
        <f>IF($L291="","",SUMIF($L$5:L291,L291,$G$5:G291)-G291)</f>
        <v/>
      </c>
      <c r="G291" s="22" t="str">
        <f>IF($L291="","",IF($C291&gt;$M291,Overview!$B$26,IFERROR(INDEX(Fields!$F$5:$F$48,MATCH($D291,Fields!$A$5:$A$48,0)),0)))</f>
        <v/>
      </c>
      <c r="H291" s="22" t="str">
        <f t="shared" si="4"/>
        <v/>
      </c>
      <c r="I291" s="21" t="str">
        <f>IF($L291="","",IF($C291&gt;$M291,IF(Overview!$B$26=1,"uint8","uint8["&amp;Overview!$B$26&amp;"]"),IFERROR(INDEX(Fields!$E$5:$E$48,MATCH($D291,Fields!$A$5:$A$48,0)),"MISSING")))</f>
        <v/>
      </c>
      <c r="J291" s="21" t="str">
        <f>IF($L291="","",IF($C291&gt;$M291,"Fixed end-of-frame delimiter, value "&amp;Overview!$B$25&amp;".",IFERROR(INDEX(Fields!$G$5:$G$48,MATCH($D291,Fields!$A$5:$A$48,0)),"MISSING")))</f>
        <v/>
      </c>
      <c r="K291" s="21" t="str">
        <f>IF($L291="","",IF($C291&gt;$M291,"n/a",IFERROR(INDEX(Fields!$H$5:$H$48,MATCH($D291,Fields!$A$5:$A$48,0)),"MISSING")))</f>
        <v/>
      </c>
      <c r="L291" s="23" t="str">
        <f>IF(ROWS($L$5:L291)&gt;MAX('Packet Builder'!$O$5:$O$34),"",COUNTIF('Packet Builder'!$O$5:$O$34,"&lt;"&amp;ROWS($L$5:L291))+1)</f>
        <v/>
      </c>
      <c r="M291" s="23" t="str">
        <f>IF($L291="","",INDEX('Packet Builder'!$F$5:$F$34,$L291))</f>
        <v/>
      </c>
    </row>
    <row r="292" spans="1:13" x14ac:dyDescent="0.35">
      <c r="A292" s="21" t="str">
        <f>IF($L292="","",INDEX('Packet Builder'!$A$5:$A$34,$L292))</f>
        <v/>
      </c>
      <c r="B292" s="21" t="str">
        <f>IF($L292="","",INDEX('Packet Builder'!$B$5:$B$34,$L292))</f>
        <v/>
      </c>
      <c r="C292" s="22" t="str">
        <f>IF($L292="","",ROWS($L$5:L292)-(INDEX('Packet Builder'!$O$5:$O$34,$L292)-$M292-1))</f>
        <v/>
      </c>
      <c r="D292" s="22" t="str">
        <f>IF($L292="","",IF($C292&gt;$M292,"EOF",IFERROR(VALUE(TRIM(MID(SUBSTITUTE(INDEX('Packet Builder'!$P$5:$P$34,$L292),",",REPT(" ",LEN(INDEX('Packet Builder'!$P$5:$P$34,$L292)))),($C292-1)*LEN(INDEX('Packet Builder'!$P$5:$P$34,$L292))+1,LEN(INDEX('Packet Builder'!$P$5:$P$34,$L292))))),"ERR")))</f>
        <v/>
      </c>
      <c r="E292" s="21" t="str">
        <f>IF($L292="","",IF($C292&gt;$M292,"End of Frame Delimiter",IFERROR(INDEX(Fields!$B$5:$B$48,MATCH($D292,Fields!$A$5:$A$48,0)),"MISSING")))</f>
        <v/>
      </c>
      <c r="F292" s="22" t="str">
        <f>IF($L292="","",SUMIF($L$5:L292,L292,$G$5:G292)-G292)</f>
        <v/>
      </c>
      <c r="G292" s="22" t="str">
        <f>IF($L292="","",IF($C292&gt;$M292,Overview!$B$26,IFERROR(INDEX(Fields!$F$5:$F$48,MATCH($D292,Fields!$A$5:$A$48,0)),0)))</f>
        <v/>
      </c>
      <c r="H292" s="22" t="str">
        <f t="shared" si="4"/>
        <v/>
      </c>
      <c r="I292" s="21" t="str">
        <f>IF($L292="","",IF($C292&gt;$M292,IF(Overview!$B$26=1,"uint8","uint8["&amp;Overview!$B$26&amp;"]"),IFERROR(INDEX(Fields!$E$5:$E$48,MATCH($D292,Fields!$A$5:$A$48,0)),"MISSING")))</f>
        <v/>
      </c>
      <c r="J292" s="21" t="str">
        <f>IF($L292="","",IF($C292&gt;$M292,"Fixed end-of-frame delimiter, value "&amp;Overview!$B$25&amp;".",IFERROR(INDEX(Fields!$G$5:$G$48,MATCH($D292,Fields!$A$5:$A$48,0)),"MISSING")))</f>
        <v/>
      </c>
      <c r="K292" s="21" t="str">
        <f>IF($L292="","",IF($C292&gt;$M292,"n/a",IFERROR(INDEX(Fields!$H$5:$H$48,MATCH($D292,Fields!$A$5:$A$48,0)),"MISSING")))</f>
        <v/>
      </c>
      <c r="L292" s="23" t="str">
        <f>IF(ROWS($L$5:L292)&gt;MAX('Packet Builder'!$O$5:$O$34),"",COUNTIF('Packet Builder'!$O$5:$O$34,"&lt;"&amp;ROWS($L$5:L292))+1)</f>
        <v/>
      </c>
      <c r="M292" s="23" t="str">
        <f>IF($L292="","",INDEX('Packet Builder'!$F$5:$F$34,$L292))</f>
        <v/>
      </c>
    </row>
    <row r="293" spans="1:13" x14ac:dyDescent="0.35">
      <c r="A293" s="21" t="str">
        <f>IF($L293="","",INDEX('Packet Builder'!$A$5:$A$34,$L293))</f>
        <v/>
      </c>
      <c r="B293" s="21" t="str">
        <f>IF($L293="","",INDEX('Packet Builder'!$B$5:$B$34,$L293))</f>
        <v/>
      </c>
      <c r="C293" s="22" t="str">
        <f>IF($L293="","",ROWS($L$5:L293)-(INDEX('Packet Builder'!$O$5:$O$34,$L293)-$M293-1))</f>
        <v/>
      </c>
      <c r="D293" s="22" t="str">
        <f>IF($L293="","",IF($C293&gt;$M293,"EOF",IFERROR(VALUE(TRIM(MID(SUBSTITUTE(INDEX('Packet Builder'!$P$5:$P$34,$L293),",",REPT(" ",LEN(INDEX('Packet Builder'!$P$5:$P$34,$L293)))),($C293-1)*LEN(INDEX('Packet Builder'!$P$5:$P$34,$L293))+1,LEN(INDEX('Packet Builder'!$P$5:$P$34,$L293))))),"ERR")))</f>
        <v/>
      </c>
      <c r="E293" s="21" t="str">
        <f>IF($L293="","",IF($C293&gt;$M293,"End of Frame Delimiter",IFERROR(INDEX(Fields!$B$5:$B$48,MATCH($D293,Fields!$A$5:$A$48,0)),"MISSING")))</f>
        <v/>
      </c>
      <c r="F293" s="22" t="str">
        <f>IF($L293="","",SUMIF($L$5:L293,L293,$G$5:G293)-G293)</f>
        <v/>
      </c>
      <c r="G293" s="22" t="str">
        <f>IF($L293="","",IF($C293&gt;$M293,Overview!$B$26,IFERROR(INDEX(Fields!$F$5:$F$48,MATCH($D293,Fields!$A$5:$A$48,0)),0)))</f>
        <v/>
      </c>
      <c r="H293" s="22" t="str">
        <f t="shared" si="4"/>
        <v/>
      </c>
      <c r="I293" s="21" t="str">
        <f>IF($L293="","",IF($C293&gt;$M293,IF(Overview!$B$26=1,"uint8","uint8["&amp;Overview!$B$26&amp;"]"),IFERROR(INDEX(Fields!$E$5:$E$48,MATCH($D293,Fields!$A$5:$A$48,0)),"MISSING")))</f>
        <v/>
      </c>
      <c r="J293" s="21" t="str">
        <f>IF($L293="","",IF($C293&gt;$M293,"Fixed end-of-frame delimiter, value "&amp;Overview!$B$25&amp;".",IFERROR(INDEX(Fields!$G$5:$G$48,MATCH($D293,Fields!$A$5:$A$48,0)),"MISSING")))</f>
        <v/>
      </c>
      <c r="K293" s="21" t="str">
        <f>IF($L293="","",IF($C293&gt;$M293,"n/a",IFERROR(INDEX(Fields!$H$5:$H$48,MATCH($D293,Fields!$A$5:$A$48,0)),"MISSING")))</f>
        <v/>
      </c>
      <c r="L293" s="23" t="str">
        <f>IF(ROWS($L$5:L293)&gt;MAX('Packet Builder'!$O$5:$O$34),"",COUNTIF('Packet Builder'!$O$5:$O$34,"&lt;"&amp;ROWS($L$5:L293))+1)</f>
        <v/>
      </c>
      <c r="M293" s="23" t="str">
        <f>IF($L293="","",INDEX('Packet Builder'!$F$5:$F$34,$L293))</f>
        <v/>
      </c>
    </row>
    <row r="294" spans="1:13" x14ac:dyDescent="0.35">
      <c r="A294" s="21" t="str">
        <f>IF($L294="","",INDEX('Packet Builder'!$A$5:$A$34,$L294))</f>
        <v/>
      </c>
      <c r="B294" s="21" t="str">
        <f>IF($L294="","",INDEX('Packet Builder'!$B$5:$B$34,$L294))</f>
        <v/>
      </c>
      <c r="C294" s="22" t="str">
        <f>IF($L294="","",ROWS($L$5:L294)-(INDEX('Packet Builder'!$O$5:$O$34,$L294)-$M294-1))</f>
        <v/>
      </c>
      <c r="D294" s="22" t="str">
        <f>IF($L294="","",IF($C294&gt;$M294,"EOF",IFERROR(VALUE(TRIM(MID(SUBSTITUTE(INDEX('Packet Builder'!$P$5:$P$34,$L294),",",REPT(" ",LEN(INDEX('Packet Builder'!$P$5:$P$34,$L294)))),($C294-1)*LEN(INDEX('Packet Builder'!$P$5:$P$34,$L294))+1,LEN(INDEX('Packet Builder'!$P$5:$P$34,$L294))))),"ERR")))</f>
        <v/>
      </c>
      <c r="E294" s="21" t="str">
        <f>IF($L294="","",IF($C294&gt;$M294,"End of Frame Delimiter",IFERROR(INDEX(Fields!$B$5:$B$48,MATCH($D294,Fields!$A$5:$A$48,0)),"MISSING")))</f>
        <v/>
      </c>
      <c r="F294" s="22" t="str">
        <f>IF($L294="","",SUMIF($L$5:L294,L294,$G$5:G294)-G294)</f>
        <v/>
      </c>
      <c r="G294" s="22" t="str">
        <f>IF($L294="","",IF($C294&gt;$M294,Overview!$B$26,IFERROR(INDEX(Fields!$F$5:$F$48,MATCH($D294,Fields!$A$5:$A$48,0)),0)))</f>
        <v/>
      </c>
      <c r="H294" s="22" t="str">
        <f t="shared" si="4"/>
        <v/>
      </c>
      <c r="I294" s="21" t="str">
        <f>IF($L294="","",IF($C294&gt;$M294,IF(Overview!$B$26=1,"uint8","uint8["&amp;Overview!$B$26&amp;"]"),IFERROR(INDEX(Fields!$E$5:$E$48,MATCH($D294,Fields!$A$5:$A$48,0)),"MISSING")))</f>
        <v/>
      </c>
      <c r="J294" s="21" t="str">
        <f>IF($L294="","",IF($C294&gt;$M294,"Fixed end-of-frame delimiter, value "&amp;Overview!$B$25&amp;".",IFERROR(INDEX(Fields!$G$5:$G$48,MATCH($D294,Fields!$A$5:$A$48,0)),"MISSING")))</f>
        <v/>
      </c>
      <c r="K294" s="21" t="str">
        <f>IF($L294="","",IF($C294&gt;$M294,"n/a",IFERROR(INDEX(Fields!$H$5:$H$48,MATCH($D294,Fields!$A$5:$A$48,0)),"MISSING")))</f>
        <v/>
      </c>
      <c r="L294" s="23" t="str">
        <f>IF(ROWS($L$5:L294)&gt;MAX('Packet Builder'!$O$5:$O$34),"",COUNTIF('Packet Builder'!$O$5:$O$34,"&lt;"&amp;ROWS($L$5:L294))+1)</f>
        <v/>
      </c>
      <c r="M294" s="23" t="str">
        <f>IF($L294="","",INDEX('Packet Builder'!$F$5:$F$34,$L294))</f>
        <v/>
      </c>
    </row>
    <row r="295" spans="1:13" x14ac:dyDescent="0.35">
      <c r="A295" s="21" t="str">
        <f>IF($L295="","",INDEX('Packet Builder'!$A$5:$A$34,$L295))</f>
        <v/>
      </c>
      <c r="B295" s="21" t="str">
        <f>IF($L295="","",INDEX('Packet Builder'!$B$5:$B$34,$L295))</f>
        <v/>
      </c>
      <c r="C295" s="22" t="str">
        <f>IF($L295="","",ROWS($L$5:L295)-(INDEX('Packet Builder'!$O$5:$O$34,$L295)-$M295-1))</f>
        <v/>
      </c>
      <c r="D295" s="22" t="str">
        <f>IF($L295="","",IF($C295&gt;$M295,"EOF",IFERROR(VALUE(TRIM(MID(SUBSTITUTE(INDEX('Packet Builder'!$P$5:$P$34,$L295),",",REPT(" ",LEN(INDEX('Packet Builder'!$P$5:$P$34,$L295)))),($C295-1)*LEN(INDEX('Packet Builder'!$P$5:$P$34,$L295))+1,LEN(INDEX('Packet Builder'!$P$5:$P$34,$L295))))),"ERR")))</f>
        <v/>
      </c>
      <c r="E295" s="21" t="str">
        <f>IF($L295="","",IF($C295&gt;$M295,"End of Frame Delimiter",IFERROR(INDEX(Fields!$B$5:$B$48,MATCH($D295,Fields!$A$5:$A$48,0)),"MISSING")))</f>
        <v/>
      </c>
      <c r="F295" s="22" t="str">
        <f>IF($L295="","",SUMIF($L$5:L295,L295,$G$5:G295)-G295)</f>
        <v/>
      </c>
      <c r="G295" s="22" t="str">
        <f>IF($L295="","",IF($C295&gt;$M295,Overview!$B$26,IFERROR(INDEX(Fields!$F$5:$F$48,MATCH($D295,Fields!$A$5:$A$48,0)),0)))</f>
        <v/>
      </c>
      <c r="H295" s="22" t="str">
        <f t="shared" si="4"/>
        <v/>
      </c>
      <c r="I295" s="21" t="str">
        <f>IF($L295="","",IF($C295&gt;$M295,IF(Overview!$B$26=1,"uint8","uint8["&amp;Overview!$B$26&amp;"]"),IFERROR(INDEX(Fields!$E$5:$E$48,MATCH($D295,Fields!$A$5:$A$48,0)),"MISSING")))</f>
        <v/>
      </c>
      <c r="J295" s="21" t="str">
        <f>IF($L295="","",IF($C295&gt;$M295,"Fixed end-of-frame delimiter, value "&amp;Overview!$B$25&amp;".",IFERROR(INDEX(Fields!$G$5:$G$48,MATCH($D295,Fields!$A$5:$A$48,0)),"MISSING")))</f>
        <v/>
      </c>
      <c r="K295" s="21" t="str">
        <f>IF($L295="","",IF($C295&gt;$M295,"n/a",IFERROR(INDEX(Fields!$H$5:$H$48,MATCH($D295,Fields!$A$5:$A$48,0)),"MISSING")))</f>
        <v/>
      </c>
      <c r="L295" s="23" t="str">
        <f>IF(ROWS($L$5:L295)&gt;MAX('Packet Builder'!$O$5:$O$34),"",COUNTIF('Packet Builder'!$O$5:$O$34,"&lt;"&amp;ROWS($L$5:L295))+1)</f>
        <v/>
      </c>
      <c r="M295" s="23" t="str">
        <f>IF($L295="","",INDEX('Packet Builder'!$F$5:$F$34,$L295))</f>
        <v/>
      </c>
    </row>
    <row r="296" spans="1:13" x14ac:dyDescent="0.35">
      <c r="A296" s="21" t="str">
        <f>IF($L296="","",INDEX('Packet Builder'!$A$5:$A$34,$L296))</f>
        <v/>
      </c>
      <c r="B296" s="21" t="str">
        <f>IF($L296="","",INDEX('Packet Builder'!$B$5:$B$34,$L296))</f>
        <v/>
      </c>
      <c r="C296" s="22" t="str">
        <f>IF($L296="","",ROWS($L$5:L296)-(INDEX('Packet Builder'!$O$5:$O$34,$L296)-$M296-1))</f>
        <v/>
      </c>
      <c r="D296" s="22" t="str">
        <f>IF($L296="","",IF($C296&gt;$M296,"EOF",IFERROR(VALUE(TRIM(MID(SUBSTITUTE(INDEX('Packet Builder'!$P$5:$P$34,$L296),",",REPT(" ",LEN(INDEX('Packet Builder'!$P$5:$P$34,$L296)))),($C296-1)*LEN(INDEX('Packet Builder'!$P$5:$P$34,$L296))+1,LEN(INDEX('Packet Builder'!$P$5:$P$34,$L296))))),"ERR")))</f>
        <v/>
      </c>
      <c r="E296" s="21" t="str">
        <f>IF($L296="","",IF($C296&gt;$M296,"End of Frame Delimiter",IFERROR(INDEX(Fields!$B$5:$B$48,MATCH($D296,Fields!$A$5:$A$48,0)),"MISSING")))</f>
        <v/>
      </c>
      <c r="F296" s="22" t="str">
        <f>IF($L296="","",SUMIF($L$5:L296,L296,$G$5:G296)-G296)</f>
        <v/>
      </c>
      <c r="G296" s="22" t="str">
        <f>IF($L296="","",IF($C296&gt;$M296,Overview!$B$26,IFERROR(INDEX(Fields!$F$5:$F$48,MATCH($D296,Fields!$A$5:$A$48,0)),0)))</f>
        <v/>
      </c>
      <c r="H296" s="22" t="str">
        <f t="shared" si="4"/>
        <v/>
      </c>
      <c r="I296" s="21" t="str">
        <f>IF($L296="","",IF($C296&gt;$M296,IF(Overview!$B$26=1,"uint8","uint8["&amp;Overview!$B$26&amp;"]"),IFERROR(INDEX(Fields!$E$5:$E$48,MATCH($D296,Fields!$A$5:$A$48,0)),"MISSING")))</f>
        <v/>
      </c>
      <c r="J296" s="21" t="str">
        <f>IF($L296="","",IF($C296&gt;$M296,"Fixed end-of-frame delimiter, value "&amp;Overview!$B$25&amp;".",IFERROR(INDEX(Fields!$G$5:$G$48,MATCH($D296,Fields!$A$5:$A$48,0)),"MISSING")))</f>
        <v/>
      </c>
      <c r="K296" s="21" t="str">
        <f>IF($L296="","",IF($C296&gt;$M296,"n/a",IFERROR(INDEX(Fields!$H$5:$H$48,MATCH($D296,Fields!$A$5:$A$48,0)),"MISSING")))</f>
        <v/>
      </c>
      <c r="L296" s="23" t="str">
        <f>IF(ROWS($L$5:L296)&gt;MAX('Packet Builder'!$O$5:$O$34),"",COUNTIF('Packet Builder'!$O$5:$O$34,"&lt;"&amp;ROWS($L$5:L296))+1)</f>
        <v/>
      </c>
      <c r="M296" s="23" t="str">
        <f>IF($L296="","",INDEX('Packet Builder'!$F$5:$F$34,$L296))</f>
        <v/>
      </c>
    </row>
    <row r="297" spans="1:13" x14ac:dyDescent="0.35">
      <c r="A297" s="21" t="str">
        <f>IF($L297="","",INDEX('Packet Builder'!$A$5:$A$34,$L297))</f>
        <v/>
      </c>
      <c r="B297" s="21" t="str">
        <f>IF($L297="","",INDEX('Packet Builder'!$B$5:$B$34,$L297))</f>
        <v/>
      </c>
      <c r="C297" s="22" t="str">
        <f>IF($L297="","",ROWS($L$5:L297)-(INDEX('Packet Builder'!$O$5:$O$34,$L297)-$M297-1))</f>
        <v/>
      </c>
      <c r="D297" s="22" t="str">
        <f>IF($L297="","",IF($C297&gt;$M297,"EOF",IFERROR(VALUE(TRIM(MID(SUBSTITUTE(INDEX('Packet Builder'!$P$5:$P$34,$L297),",",REPT(" ",LEN(INDEX('Packet Builder'!$P$5:$P$34,$L297)))),($C297-1)*LEN(INDEX('Packet Builder'!$P$5:$P$34,$L297))+1,LEN(INDEX('Packet Builder'!$P$5:$P$34,$L297))))),"ERR")))</f>
        <v/>
      </c>
      <c r="E297" s="21" t="str">
        <f>IF($L297="","",IF($C297&gt;$M297,"End of Frame Delimiter",IFERROR(INDEX(Fields!$B$5:$B$48,MATCH($D297,Fields!$A$5:$A$48,0)),"MISSING")))</f>
        <v/>
      </c>
      <c r="F297" s="22" t="str">
        <f>IF($L297="","",SUMIF($L$5:L297,L297,$G$5:G297)-G297)</f>
        <v/>
      </c>
      <c r="G297" s="22" t="str">
        <f>IF($L297="","",IF($C297&gt;$M297,Overview!$B$26,IFERROR(INDEX(Fields!$F$5:$F$48,MATCH($D297,Fields!$A$5:$A$48,0)),0)))</f>
        <v/>
      </c>
      <c r="H297" s="22" t="str">
        <f t="shared" si="4"/>
        <v/>
      </c>
      <c r="I297" s="21" t="str">
        <f>IF($L297="","",IF($C297&gt;$M297,IF(Overview!$B$26=1,"uint8","uint8["&amp;Overview!$B$26&amp;"]"),IFERROR(INDEX(Fields!$E$5:$E$48,MATCH($D297,Fields!$A$5:$A$48,0)),"MISSING")))</f>
        <v/>
      </c>
      <c r="J297" s="21" t="str">
        <f>IF($L297="","",IF($C297&gt;$M297,"Fixed end-of-frame delimiter, value "&amp;Overview!$B$25&amp;".",IFERROR(INDEX(Fields!$G$5:$G$48,MATCH($D297,Fields!$A$5:$A$48,0)),"MISSING")))</f>
        <v/>
      </c>
      <c r="K297" s="21" t="str">
        <f>IF($L297="","",IF($C297&gt;$M297,"n/a",IFERROR(INDEX(Fields!$H$5:$H$48,MATCH($D297,Fields!$A$5:$A$48,0)),"MISSING")))</f>
        <v/>
      </c>
      <c r="L297" s="23" t="str">
        <f>IF(ROWS($L$5:L297)&gt;MAX('Packet Builder'!$O$5:$O$34),"",COUNTIF('Packet Builder'!$O$5:$O$34,"&lt;"&amp;ROWS($L$5:L297))+1)</f>
        <v/>
      </c>
      <c r="M297" s="23" t="str">
        <f>IF($L297="","",INDEX('Packet Builder'!$F$5:$F$34,$L297))</f>
        <v/>
      </c>
    </row>
    <row r="298" spans="1:13" x14ac:dyDescent="0.35">
      <c r="A298" s="21" t="str">
        <f>IF($L298="","",INDEX('Packet Builder'!$A$5:$A$34,$L298))</f>
        <v/>
      </c>
      <c r="B298" s="21" t="str">
        <f>IF($L298="","",INDEX('Packet Builder'!$B$5:$B$34,$L298))</f>
        <v/>
      </c>
      <c r="C298" s="22" t="str">
        <f>IF($L298="","",ROWS($L$5:L298)-(INDEX('Packet Builder'!$O$5:$O$34,$L298)-$M298-1))</f>
        <v/>
      </c>
      <c r="D298" s="22" t="str">
        <f>IF($L298="","",IF($C298&gt;$M298,"EOF",IFERROR(VALUE(TRIM(MID(SUBSTITUTE(INDEX('Packet Builder'!$P$5:$P$34,$L298),",",REPT(" ",LEN(INDEX('Packet Builder'!$P$5:$P$34,$L298)))),($C298-1)*LEN(INDEX('Packet Builder'!$P$5:$P$34,$L298))+1,LEN(INDEX('Packet Builder'!$P$5:$P$34,$L298))))),"ERR")))</f>
        <v/>
      </c>
      <c r="E298" s="21" t="str">
        <f>IF($L298="","",IF($C298&gt;$M298,"End of Frame Delimiter",IFERROR(INDEX(Fields!$B$5:$B$48,MATCH($D298,Fields!$A$5:$A$48,0)),"MISSING")))</f>
        <v/>
      </c>
      <c r="F298" s="22" t="str">
        <f>IF($L298="","",SUMIF($L$5:L298,L298,$G$5:G298)-G298)</f>
        <v/>
      </c>
      <c r="G298" s="22" t="str">
        <f>IF($L298="","",IF($C298&gt;$M298,Overview!$B$26,IFERROR(INDEX(Fields!$F$5:$F$48,MATCH($D298,Fields!$A$5:$A$48,0)),0)))</f>
        <v/>
      </c>
      <c r="H298" s="22" t="str">
        <f t="shared" si="4"/>
        <v/>
      </c>
      <c r="I298" s="21" t="str">
        <f>IF($L298="","",IF($C298&gt;$M298,IF(Overview!$B$26=1,"uint8","uint8["&amp;Overview!$B$26&amp;"]"),IFERROR(INDEX(Fields!$E$5:$E$48,MATCH($D298,Fields!$A$5:$A$48,0)),"MISSING")))</f>
        <v/>
      </c>
      <c r="J298" s="21" t="str">
        <f>IF($L298="","",IF($C298&gt;$M298,"Fixed end-of-frame delimiter, value "&amp;Overview!$B$25&amp;".",IFERROR(INDEX(Fields!$G$5:$G$48,MATCH($D298,Fields!$A$5:$A$48,0)),"MISSING")))</f>
        <v/>
      </c>
      <c r="K298" s="21" t="str">
        <f>IF($L298="","",IF($C298&gt;$M298,"n/a",IFERROR(INDEX(Fields!$H$5:$H$48,MATCH($D298,Fields!$A$5:$A$48,0)),"MISSING")))</f>
        <v/>
      </c>
      <c r="L298" s="23" t="str">
        <f>IF(ROWS($L$5:L298)&gt;MAX('Packet Builder'!$O$5:$O$34),"",COUNTIF('Packet Builder'!$O$5:$O$34,"&lt;"&amp;ROWS($L$5:L298))+1)</f>
        <v/>
      </c>
      <c r="M298" s="23" t="str">
        <f>IF($L298="","",INDEX('Packet Builder'!$F$5:$F$34,$L298))</f>
        <v/>
      </c>
    </row>
    <row r="299" spans="1:13" x14ac:dyDescent="0.35">
      <c r="A299" s="21" t="str">
        <f>IF($L299="","",INDEX('Packet Builder'!$A$5:$A$34,$L299))</f>
        <v/>
      </c>
      <c r="B299" s="21" t="str">
        <f>IF($L299="","",INDEX('Packet Builder'!$B$5:$B$34,$L299))</f>
        <v/>
      </c>
      <c r="C299" s="22" t="str">
        <f>IF($L299="","",ROWS($L$5:L299)-(INDEX('Packet Builder'!$O$5:$O$34,$L299)-$M299-1))</f>
        <v/>
      </c>
      <c r="D299" s="22" t="str">
        <f>IF($L299="","",IF($C299&gt;$M299,"EOF",IFERROR(VALUE(TRIM(MID(SUBSTITUTE(INDEX('Packet Builder'!$P$5:$P$34,$L299),",",REPT(" ",LEN(INDEX('Packet Builder'!$P$5:$P$34,$L299)))),($C299-1)*LEN(INDEX('Packet Builder'!$P$5:$P$34,$L299))+1,LEN(INDEX('Packet Builder'!$P$5:$P$34,$L299))))),"ERR")))</f>
        <v/>
      </c>
      <c r="E299" s="21" t="str">
        <f>IF($L299="","",IF($C299&gt;$M299,"End of Frame Delimiter",IFERROR(INDEX(Fields!$B$5:$B$48,MATCH($D299,Fields!$A$5:$A$48,0)),"MISSING")))</f>
        <v/>
      </c>
      <c r="F299" s="22" t="str">
        <f>IF($L299="","",SUMIF($L$5:L299,L299,$G$5:G299)-G299)</f>
        <v/>
      </c>
      <c r="G299" s="22" t="str">
        <f>IF($L299="","",IF($C299&gt;$M299,Overview!$B$26,IFERROR(INDEX(Fields!$F$5:$F$48,MATCH($D299,Fields!$A$5:$A$48,0)),0)))</f>
        <v/>
      </c>
      <c r="H299" s="22" t="str">
        <f t="shared" si="4"/>
        <v/>
      </c>
      <c r="I299" s="21" t="str">
        <f>IF($L299="","",IF($C299&gt;$M299,IF(Overview!$B$26=1,"uint8","uint8["&amp;Overview!$B$26&amp;"]"),IFERROR(INDEX(Fields!$E$5:$E$48,MATCH($D299,Fields!$A$5:$A$48,0)),"MISSING")))</f>
        <v/>
      </c>
      <c r="J299" s="21" t="str">
        <f>IF($L299="","",IF($C299&gt;$M299,"Fixed end-of-frame delimiter, value "&amp;Overview!$B$25&amp;".",IFERROR(INDEX(Fields!$G$5:$G$48,MATCH($D299,Fields!$A$5:$A$48,0)),"MISSING")))</f>
        <v/>
      </c>
      <c r="K299" s="21" t="str">
        <f>IF($L299="","",IF($C299&gt;$M299,"n/a",IFERROR(INDEX(Fields!$H$5:$H$48,MATCH($D299,Fields!$A$5:$A$48,0)),"MISSING")))</f>
        <v/>
      </c>
      <c r="L299" s="23" t="str">
        <f>IF(ROWS($L$5:L299)&gt;MAX('Packet Builder'!$O$5:$O$34),"",COUNTIF('Packet Builder'!$O$5:$O$34,"&lt;"&amp;ROWS($L$5:L299))+1)</f>
        <v/>
      </c>
      <c r="M299" s="23" t="str">
        <f>IF($L299="","",INDEX('Packet Builder'!$F$5:$F$34,$L299))</f>
        <v/>
      </c>
    </row>
    <row r="300" spans="1:13" x14ac:dyDescent="0.35">
      <c r="A300" s="21" t="str">
        <f>IF($L300="","",INDEX('Packet Builder'!$A$5:$A$34,$L300))</f>
        <v/>
      </c>
      <c r="B300" s="21" t="str">
        <f>IF($L300="","",INDEX('Packet Builder'!$B$5:$B$34,$L300))</f>
        <v/>
      </c>
      <c r="C300" s="22" t="str">
        <f>IF($L300="","",ROWS($L$5:L300)-(INDEX('Packet Builder'!$O$5:$O$34,$L300)-$M300-1))</f>
        <v/>
      </c>
      <c r="D300" s="22" t="str">
        <f>IF($L300="","",IF($C300&gt;$M300,"EOF",IFERROR(VALUE(TRIM(MID(SUBSTITUTE(INDEX('Packet Builder'!$P$5:$P$34,$L300),",",REPT(" ",LEN(INDEX('Packet Builder'!$P$5:$P$34,$L300)))),($C300-1)*LEN(INDEX('Packet Builder'!$P$5:$P$34,$L300))+1,LEN(INDEX('Packet Builder'!$P$5:$P$34,$L300))))),"ERR")))</f>
        <v/>
      </c>
      <c r="E300" s="21" t="str">
        <f>IF($L300="","",IF($C300&gt;$M300,"End of Frame Delimiter",IFERROR(INDEX(Fields!$B$5:$B$48,MATCH($D300,Fields!$A$5:$A$48,0)),"MISSING")))</f>
        <v/>
      </c>
      <c r="F300" s="22" t="str">
        <f>IF($L300="","",SUMIF($L$5:L300,L300,$G$5:G300)-G300)</f>
        <v/>
      </c>
      <c r="G300" s="22" t="str">
        <f>IF($L300="","",IF($C300&gt;$M300,Overview!$B$26,IFERROR(INDEX(Fields!$F$5:$F$48,MATCH($D300,Fields!$A$5:$A$48,0)),0)))</f>
        <v/>
      </c>
      <c r="H300" s="22" t="str">
        <f t="shared" si="4"/>
        <v/>
      </c>
      <c r="I300" s="21" t="str">
        <f>IF($L300="","",IF($C300&gt;$M300,IF(Overview!$B$26=1,"uint8","uint8["&amp;Overview!$B$26&amp;"]"),IFERROR(INDEX(Fields!$E$5:$E$48,MATCH($D300,Fields!$A$5:$A$48,0)),"MISSING")))</f>
        <v/>
      </c>
      <c r="J300" s="21" t="str">
        <f>IF($L300="","",IF($C300&gt;$M300,"Fixed end-of-frame delimiter, value "&amp;Overview!$B$25&amp;".",IFERROR(INDEX(Fields!$G$5:$G$48,MATCH($D300,Fields!$A$5:$A$48,0)),"MISSING")))</f>
        <v/>
      </c>
      <c r="K300" s="21" t="str">
        <f>IF($L300="","",IF($C300&gt;$M300,"n/a",IFERROR(INDEX(Fields!$H$5:$H$48,MATCH($D300,Fields!$A$5:$A$48,0)),"MISSING")))</f>
        <v/>
      </c>
      <c r="L300" s="23" t="str">
        <f>IF(ROWS($L$5:L300)&gt;MAX('Packet Builder'!$O$5:$O$34),"",COUNTIF('Packet Builder'!$O$5:$O$34,"&lt;"&amp;ROWS($L$5:L300))+1)</f>
        <v/>
      </c>
      <c r="M300" s="23" t="str">
        <f>IF($L300="","",INDEX('Packet Builder'!$F$5:$F$34,$L300))</f>
        <v/>
      </c>
    </row>
    <row r="301" spans="1:13" x14ac:dyDescent="0.35">
      <c r="A301" s="21" t="str">
        <f>IF($L301="","",INDEX('Packet Builder'!$A$5:$A$34,$L301))</f>
        <v/>
      </c>
      <c r="B301" s="21" t="str">
        <f>IF($L301="","",INDEX('Packet Builder'!$B$5:$B$34,$L301))</f>
        <v/>
      </c>
      <c r="C301" s="22" t="str">
        <f>IF($L301="","",ROWS($L$5:L301)-(INDEX('Packet Builder'!$O$5:$O$34,$L301)-$M301-1))</f>
        <v/>
      </c>
      <c r="D301" s="22" t="str">
        <f>IF($L301="","",IF($C301&gt;$M301,"EOF",IFERROR(VALUE(TRIM(MID(SUBSTITUTE(INDEX('Packet Builder'!$P$5:$P$34,$L301),",",REPT(" ",LEN(INDEX('Packet Builder'!$P$5:$P$34,$L301)))),($C301-1)*LEN(INDEX('Packet Builder'!$P$5:$P$34,$L301))+1,LEN(INDEX('Packet Builder'!$P$5:$P$34,$L301))))),"ERR")))</f>
        <v/>
      </c>
      <c r="E301" s="21" t="str">
        <f>IF($L301="","",IF($C301&gt;$M301,"End of Frame Delimiter",IFERROR(INDEX(Fields!$B$5:$B$48,MATCH($D301,Fields!$A$5:$A$48,0)),"MISSING")))</f>
        <v/>
      </c>
      <c r="F301" s="22" t="str">
        <f>IF($L301="","",SUMIF($L$5:L301,L301,$G$5:G301)-G301)</f>
        <v/>
      </c>
      <c r="G301" s="22" t="str">
        <f>IF($L301="","",IF($C301&gt;$M301,Overview!$B$26,IFERROR(INDEX(Fields!$F$5:$F$48,MATCH($D301,Fields!$A$5:$A$48,0)),0)))</f>
        <v/>
      </c>
      <c r="H301" s="22" t="str">
        <f t="shared" si="4"/>
        <v/>
      </c>
      <c r="I301" s="21" t="str">
        <f>IF($L301="","",IF($C301&gt;$M301,IF(Overview!$B$26=1,"uint8","uint8["&amp;Overview!$B$26&amp;"]"),IFERROR(INDEX(Fields!$E$5:$E$48,MATCH($D301,Fields!$A$5:$A$48,0)),"MISSING")))</f>
        <v/>
      </c>
      <c r="J301" s="21" t="str">
        <f>IF($L301="","",IF($C301&gt;$M301,"Fixed end-of-frame delimiter, value "&amp;Overview!$B$25&amp;".",IFERROR(INDEX(Fields!$G$5:$G$48,MATCH($D301,Fields!$A$5:$A$48,0)),"MISSING")))</f>
        <v/>
      </c>
      <c r="K301" s="21" t="str">
        <f>IF($L301="","",IF($C301&gt;$M301,"n/a",IFERROR(INDEX(Fields!$H$5:$H$48,MATCH($D301,Fields!$A$5:$A$48,0)),"MISSING")))</f>
        <v/>
      </c>
      <c r="L301" s="23" t="str">
        <f>IF(ROWS($L$5:L301)&gt;MAX('Packet Builder'!$O$5:$O$34),"",COUNTIF('Packet Builder'!$O$5:$O$34,"&lt;"&amp;ROWS($L$5:L301))+1)</f>
        <v/>
      </c>
      <c r="M301" s="23" t="str">
        <f>IF($L301="","",INDEX('Packet Builder'!$F$5:$F$34,$L301))</f>
        <v/>
      </c>
    </row>
    <row r="302" spans="1:13" x14ac:dyDescent="0.35">
      <c r="A302" s="21" t="str">
        <f>IF($L302="","",INDEX('Packet Builder'!$A$5:$A$34,$L302))</f>
        <v/>
      </c>
      <c r="B302" s="21" t="str">
        <f>IF($L302="","",INDEX('Packet Builder'!$B$5:$B$34,$L302))</f>
        <v/>
      </c>
      <c r="C302" s="22" t="str">
        <f>IF($L302="","",ROWS($L$5:L302)-(INDEX('Packet Builder'!$O$5:$O$34,$L302)-$M302-1))</f>
        <v/>
      </c>
      <c r="D302" s="22" t="str">
        <f>IF($L302="","",IF($C302&gt;$M302,"EOF",IFERROR(VALUE(TRIM(MID(SUBSTITUTE(INDEX('Packet Builder'!$P$5:$P$34,$L302),",",REPT(" ",LEN(INDEX('Packet Builder'!$P$5:$P$34,$L302)))),($C302-1)*LEN(INDEX('Packet Builder'!$P$5:$P$34,$L302))+1,LEN(INDEX('Packet Builder'!$P$5:$P$34,$L302))))),"ERR")))</f>
        <v/>
      </c>
      <c r="E302" s="21" t="str">
        <f>IF($L302="","",IF($C302&gt;$M302,"End of Frame Delimiter",IFERROR(INDEX(Fields!$B$5:$B$48,MATCH($D302,Fields!$A$5:$A$48,0)),"MISSING")))</f>
        <v/>
      </c>
      <c r="F302" s="22" t="str">
        <f>IF($L302="","",SUMIF($L$5:L302,L302,$G$5:G302)-G302)</f>
        <v/>
      </c>
      <c r="G302" s="22" t="str">
        <f>IF($L302="","",IF($C302&gt;$M302,Overview!$B$26,IFERROR(INDEX(Fields!$F$5:$F$48,MATCH($D302,Fields!$A$5:$A$48,0)),0)))</f>
        <v/>
      </c>
      <c r="H302" s="22" t="str">
        <f t="shared" si="4"/>
        <v/>
      </c>
      <c r="I302" s="21" t="str">
        <f>IF($L302="","",IF($C302&gt;$M302,IF(Overview!$B$26=1,"uint8","uint8["&amp;Overview!$B$26&amp;"]"),IFERROR(INDEX(Fields!$E$5:$E$48,MATCH($D302,Fields!$A$5:$A$48,0)),"MISSING")))</f>
        <v/>
      </c>
      <c r="J302" s="21" t="str">
        <f>IF($L302="","",IF($C302&gt;$M302,"Fixed end-of-frame delimiter, value "&amp;Overview!$B$25&amp;".",IFERROR(INDEX(Fields!$G$5:$G$48,MATCH($D302,Fields!$A$5:$A$48,0)),"MISSING")))</f>
        <v/>
      </c>
      <c r="K302" s="21" t="str">
        <f>IF($L302="","",IF($C302&gt;$M302,"n/a",IFERROR(INDEX(Fields!$H$5:$H$48,MATCH($D302,Fields!$A$5:$A$48,0)),"MISSING")))</f>
        <v/>
      </c>
      <c r="L302" s="23" t="str">
        <f>IF(ROWS($L$5:L302)&gt;MAX('Packet Builder'!$O$5:$O$34),"",COUNTIF('Packet Builder'!$O$5:$O$34,"&lt;"&amp;ROWS($L$5:L302))+1)</f>
        <v/>
      </c>
      <c r="M302" s="23" t="str">
        <f>IF($L302="","",INDEX('Packet Builder'!$F$5:$F$34,$L302))</f>
        <v/>
      </c>
    </row>
    <row r="303" spans="1:13" x14ac:dyDescent="0.35">
      <c r="A303" s="21" t="str">
        <f>IF($L303="","",INDEX('Packet Builder'!$A$5:$A$34,$L303))</f>
        <v/>
      </c>
      <c r="B303" s="21" t="str">
        <f>IF($L303="","",INDEX('Packet Builder'!$B$5:$B$34,$L303))</f>
        <v/>
      </c>
      <c r="C303" s="22" t="str">
        <f>IF($L303="","",ROWS($L$5:L303)-(INDEX('Packet Builder'!$O$5:$O$34,$L303)-$M303-1))</f>
        <v/>
      </c>
      <c r="D303" s="22" t="str">
        <f>IF($L303="","",IF($C303&gt;$M303,"EOF",IFERROR(VALUE(TRIM(MID(SUBSTITUTE(INDEX('Packet Builder'!$P$5:$P$34,$L303),",",REPT(" ",LEN(INDEX('Packet Builder'!$P$5:$P$34,$L303)))),($C303-1)*LEN(INDEX('Packet Builder'!$P$5:$P$34,$L303))+1,LEN(INDEX('Packet Builder'!$P$5:$P$34,$L303))))),"ERR")))</f>
        <v/>
      </c>
      <c r="E303" s="21" t="str">
        <f>IF($L303="","",IF($C303&gt;$M303,"End of Frame Delimiter",IFERROR(INDEX(Fields!$B$5:$B$48,MATCH($D303,Fields!$A$5:$A$48,0)),"MISSING")))</f>
        <v/>
      </c>
      <c r="F303" s="22" t="str">
        <f>IF($L303="","",SUMIF($L$5:L303,L303,$G$5:G303)-G303)</f>
        <v/>
      </c>
      <c r="G303" s="22" t="str">
        <f>IF($L303="","",IF($C303&gt;$M303,Overview!$B$26,IFERROR(INDEX(Fields!$F$5:$F$48,MATCH($D303,Fields!$A$5:$A$48,0)),0)))</f>
        <v/>
      </c>
      <c r="H303" s="22" t="str">
        <f t="shared" si="4"/>
        <v/>
      </c>
      <c r="I303" s="21" t="str">
        <f>IF($L303="","",IF($C303&gt;$M303,IF(Overview!$B$26=1,"uint8","uint8["&amp;Overview!$B$26&amp;"]"),IFERROR(INDEX(Fields!$E$5:$E$48,MATCH($D303,Fields!$A$5:$A$48,0)),"MISSING")))</f>
        <v/>
      </c>
      <c r="J303" s="21" t="str">
        <f>IF($L303="","",IF($C303&gt;$M303,"Fixed end-of-frame delimiter, value "&amp;Overview!$B$25&amp;".",IFERROR(INDEX(Fields!$G$5:$G$48,MATCH($D303,Fields!$A$5:$A$48,0)),"MISSING")))</f>
        <v/>
      </c>
      <c r="K303" s="21" t="str">
        <f>IF($L303="","",IF($C303&gt;$M303,"n/a",IFERROR(INDEX(Fields!$H$5:$H$48,MATCH($D303,Fields!$A$5:$A$48,0)),"MISSING")))</f>
        <v/>
      </c>
      <c r="L303" s="23" t="str">
        <f>IF(ROWS($L$5:L303)&gt;MAX('Packet Builder'!$O$5:$O$34),"",COUNTIF('Packet Builder'!$O$5:$O$34,"&lt;"&amp;ROWS($L$5:L303))+1)</f>
        <v/>
      </c>
      <c r="M303" s="23" t="str">
        <f>IF($L303="","",INDEX('Packet Builder'!$F$5:$F$34,$L303))</f>
        <v/>
      </c>
    </row>
    <row r="304" spans="1:13" x14ac:dyDescent="0.35">
      <c r="A304" s="21" t="str">
        <f>IF($L304="","",INDEX('Packet Builder'!$A$5:$A$34,$L304))</f>
        <v/>
      </c>
      <c r="B304" s="21" t="str">
        <f>IF($L304="","",INDEX('Packet Builder'!$B$5:$B$34,$L304))</f>
        <v/>
      </c>
      <c r="C304" s="22" t="str">
        <f>IF($L304="","",ROWS($L$5:L304)-(INDEX('Packet Builder'!$O$5:$O$34,$L304)-$M304-1))</f>
        <v/>
      </c>
      <c r="D304" s="22" t="str">
        <f>IF($L304="","",IF($C304&gt;$M304,"EOF",IFERROR(VALUE(TRIM(MID(SUBSTITUTE(INDEX('Packet Builder'!$P$5:$P$34,$L304),",",REPT(" ",LEN(INDEX('Packet Builder'!$P$5:$P$34,$L304)))),($C304-1)*LEN(INDEX('Packet Builder'!$P$5:$P$34,$L304))+1,LEN(INDEX('Packet Builder'!$P$5:$P$34,$L304))))),"ERR")))</f>
        <v/>
      </c>
      <c r="E304" s="21" t="str">
        <f>IF($L304="","",IF($C304&gt;$M304,"End of Frame Delimiter",IFERROR(INDEX(Fields!$B$5:$B$48,MATCH($D304,Fields!$A$5:$A$48,0)),"MISSING")))</f>
        <v/>
      </c>
      <c r="F304" s="22" t="str">
        <f>IF($L304="","",SUMIF($L$5:L304,L304,$G$5:G304)-G304)</f>
        <v/>
      </c>
      <c r="G304" s="22" t="str">
        <f>IF($L304="","",IF($C304&gt;$M304,Overview!$B$26,IFERROR(INDEX(Fields!$F$5:$F$48,MATCH($D304,Fields!$A$5:$A$48,0)),0)))</f>
        <v/>
      </c>
      <c r="H304" s="22" t="str">
        <f t="shared" si="4"/>
        <v/>
      </c>
      <c r="I304" s="21" t="str">
        <f>IF($L304="","",IF($C304&gt;$M304,IF(Overview!$B$26=1,"uint8","uint8["&amp;Overview!$B$26&amp;"]"),IFERROR(INDEX(Fields!$E$5:$E$48,MATCH($D304,Fields!$A$5:$A$48,0)),"MISSING")))</f>
        <v/>
      </c>
      <c r="J304" s="21" t="str">
        <f>IF($L304="","",IF($C304&gt;$M304,"Fixed end-of-frame delimiter, value "&amp;Overview!$B$25&amp;".",IFERROR(INDEX(Fields!$G$5:$G$48,MATCH($D304,Fields!$A$5:$A$48,0)),"MISSING")))</f>
        <v/>
      </c>
      <c r="K304" s="21" t="str">
        <f>IF($L304="","",IF($C304&gt;$M304,"n/a",IFERROR(INDEX(Fields!$H$5:$H$48,MATCH($D304,Fields!$A$5:$A$48,0)),"MISSING")))</f>
        <v/>
      </c>
      <c r="L304" s="23" t="str">
        <f>IF(ROWS($L$5:L304)&gt;MAX('Packet Builder'!$O$5:$O$34),"",COUNTIF('Packet Builder'!$O$5:$O$34,"&lt;"&amp;ROWS($L$5:L304))+1)</f>
        <v/>
      </c>
      <c r="M304" s="23" t="str">
        <f>IF($L304="","",INDEX('Packet Builder'!$F$5:$F$34,$L304))</f>
        <v/>
      </c>
    </row>
    <row r="305" spans="1:13" x14ac:dyDescent="0.35">
      <c r="A305" s="21" t="str">
        <f>IF($L305="","",INDEX('Packet Builder'!$A$5:$A$34,$L305))</f>
        <v/>
      </c>
      <c r="B305" s="21" t="str">
        <f>IF($L305="","",INDEX('Packet Builder'!$B$5:$B$34,$L305))</f>
        <v/>
      </c>
      <c r="C305" s="22" t="str">
        <f>IF($L305="","",ROWS($L$5:L305)-(INDEX('Packet Builder'!$O$5:$O$34,$L305)-$M305-1))</f>
        <v/>
      </c>
      <c r="D305" s="22" t="str">
        <f>IF($L305="","",IF($C305&gt;$M305,"EOF",IFERROR(VALUE(TRIM(MID(SUBSTITUTE(INDEX('Packet Builder'!$P$5:$P$34,$L305),",",REPT(" ",LEN(INDEX('Packet Builder'!$P$5:$P$34,$L305)))),($C305-1)*LEN(INDEX('Packet Builder'!$P$5:$P$34,$L305))+1,LEN(INDEX('Packet Builder'!$P$5:$P$34,$L305))))),"ERR")))</f>
        <v/>
      </c>
      <c r="E305" s="21" t="str">
        <f>IF($L305="","",IF($C305&gt;$M305,"End of Frame Delimiter",IFERROR(INDEX(Fields!$B$5:$B$48,MATCH($D305,Fields!$A$5:$A$48,0)),"MISSING")))</f>
        <v/>
      </c>
      <c r="F305" s="22" t="str">
        <f>IF($L305="","",SUMIF($L$5:L305,L305,$G$5:G305)-G305)</f>
        <v/>
      </c>
      <c r="G305" s="22" t="str">
        <f>IF($L305="","",IF($C305&gt;$M305,Overview!$B$26,IFERROR(INDEX(Fields!$F$5:$F$48,MATCH($D305,Fields!$A$5:$A$48,0)),0)))</f>
        <v/>
      </c>
      <c r="H305" s="22" t="str">
        <f t="shared" si="4"/>
        <v/>
      </c>
      <c r="I305" s="21" t="str">
        <f>IF($L305="","",IF($C305&gt;$M305,IF(Overview!$B$26=1,"uint8","uint8["&amp;Overview!$B$26&amp;"]"),IFERROR(INDEX(Fields!$E$5:$E$48,MATCH($D305,Fields!$A$5:$A$48,0)),"MISSING")))</f>
        <v/>
      </c>
      <c r="J305" s="21" t="str">
        <f>IF($L305="","",IF($C305&gt;$M305,"Fixed end-of-frame delimiter, value "&amp;Overview!$B$25&amp;".",IFERROR(INDEX(Fields!$G$5:$G$48,MATCH($D305,Fields!$A$5:$A$48,0)),"MISSING")))</f>
        <v/>
      </c>
      <c r="K305" s="21" t="str">
        <f>IF($L305="","",IF($C305&gt;$M305,"n/a",IFERROR(INDEX(Fields!$H$5:$H$48,MATCH($D305,Fields!$A$5:$A$48,0)),"MISSING")))</f>
        <v/>
      </c>
      <c r="L305" s="23" t="str">
        <f>IF(ROWS($L$5:L305)&gt;MAX('Packet Builder'!$O$5:$O$34),"",COUNTIF('Packet Builder'!$O$5:$O$34,"&lt;"&amp;ROWS($L$5:L305))+1)</f>
        <v/>
      </c>
      <c r="M305" s="23" t="str">
        <f>IF($L305="","",INDEX('Packet Builder'!$F$5:$F$34,$L305))</f>
        <v/>
      </c>
    </row>
    <row r="306" spans="1:13" x14ac:dyDescent="0.35">
      <c r="A306" s="21" t="str">
        <f>IF($L306="","",INDEX('Packet Builder'!$A$5:$A$34,$L306))</f>
        <v/>
      </c>
      <c r="B306" s="21" t="str">
        <f>IF($L306="","",INDEX('Packet Builder'!$B$5:$B$34,$L306))</f>
        <v/>
      </c>
      <c r="C306" s="22" t="str">
        <f>IF($L306="","",ROWS($L$5:L306)-(INDEX('Packet Builder'!$O$5:$O$34,$L306)-$M306-1))</f>
        <v/>
      </c>
      <c r="D306" s="22" t="str">
        <f>IF($L306="","",IF($C306&gt;$M306,"EOF",IFERROR(VALUE(TRIM(MID(SUBSTITUTE(INDEX('Packet Builder'!$P$5:$P$34,$L306),",",REPT(" ",LEN(INDEX('Packet Builder'!$P$5:$P$34,$L306)))),($C306-1)*LEN(INDEX('Packet Builder'!$P$5:$P$34,$L306))+1,LEN(INDEX('Packet Builder'!$P$5:$P$34,$L306))))),"ERR")))</f>
        <v/>
      </c>
      <c r="E306" s="21" t="str">
        <f>IF($L306="","",IF($C306&gt;$M306,"End of Frame Delimiter",IFERROR(INDEX(Fields!$B$5:$B$48,MATCH($D306,Fields!$A$5:$A$48,0)),"MISSING")))</f>
        <v/>
      </c>
      <c r="F306" s="22" t="str">
        <f>IF($L306="","",SUMIF($L$5:L306,L306,$G$5:G306)-G306)</f>
        <v/>
      </c>
      <c r="G306" s="22" t="str">
        <f>IF($L306="","",IF($C306&gt;$M306,Overview!$B$26,IFERROR(INDEX(Fields!$F$5:$F$48,MATCH($D306,Fields!$A$5:$A$48,0)),0)))</f>
        <v/>
      </c>
      <c r="H306" s="22" t="str">
        <f t="shared" si="4"/>
        <v/>
      </c>
      <c r="I306" s="21" t="str">
        <f>IF($L306="","",IF($C306&gt;$M306,IF(Overview!$B$26=1,"uint8","uint8["&amp;Overview!$B$26&amp;"]"),IFERROR(INDEX(Fields!$E$5:$E$48,MATCH($D306,Fields!$A$5:$A$48,0)),"MISSING")))</f>
        <v/>
      </c>
      <c r="J306" s="21" t="str">
        <f>IF($L306="","",IF($C306&gt;$M306,"Fixed end-of-frame delimiter, value "&amp;Overview!$B$25&amp;".",IFERROR(INDEX(Fields!$G$5:$G$48,MATCH($D306,Fields!$A$5:$A$48,0)),"MISSING")))</f>
        <v/>
      </c>
      <c r="K306" s="21" t="str">
        <f>IF($L306="","",IF($C306&gt;$M306,"n/a",IFERROR(INDEX(Fields!$H$5:$H$48,MATCH($D306,Fields!$A$5:$A$48,0)),"MISSING")))</f>
        <v/>
      </c>
      <c r="L306" s="23" t="str">
        <f>IF(ROWS($L$5:L306)&gt;MAX('Packet Builder'!$O$5:$O$34),"",COUNTIF('Packet Builder'!$O$5:$O$34,"&lt;"&amp;ROWS($L$5:L306))+1)</f>
        <v/>
      </c>
      <c r="M306" s="23" t="str">
        <f>IF($L306="","",INDEX('Packet Builder'!$F$5:$F$34,$L306))</f>
        <v/>
      </c>
    </row>
    <row r="307" spans="1:13" x14ac:dyDescent="0.35">
      <c r="A307" s="21" t="str">
        <f>IF($L307="","",INDEX('Packet Builder'!$A$5:$A$34,$L307))</f>
        <v/>
      </c>
      <c r="B307" s="21" t="str">
        <f>IF($L307="","",INDEX('Packet Builder'!$B$5:$B$34,$L307))</f>
        <v/>
      </c>
      <c r="C307" s="22" t="str">
        <f>IF($L307="","",ROWS($L$5:L307)-(INDEX('Packet Builder'!$O$5:$O$34,$L307)-$M307-1))</f>
        <v/>
      </c>
      <c r="D307" s="22" t="str">
        <f>IF($L307="","",IF($C307&gt;$M307,"EOF",IFERROR(VALUE(TRIM(MID(SUBSTITUTE(INDEX('Packet Builder'!$P$5:$P$34,$L307),",",REPT(" ",LEN(INDEX('Packet Builder'!$P$5:$P$34,$L307)))),($C307-1)*LEN(INDEX('Packet Builder'!$P$5:$P$34,$L307))+1,LEN(INDEX('Packet Builder'!$P$5:$P$34,$L307))))),"ERR")))</f>
        <v/>
      </c>
      <c r="E307" s="21" t="str">
        <f>IF($L307="","",IF($C307&gt;$M307,"End of Frame Delimiter",IFERROR(INDEX(Fields!$B$5:$B$48,MATCH($D307,Fields!$A$5:$A$48,0)),"MISSING")))</f>
        <v/>
      </c>
      <c r="F307" s="22" t="str">
        <f>IF($L307="","",SUMIF($L$5:L307,L307,$G$5:G307)-G307)</f>
        <v/>
      </c>
      <c r="G307" s="22" t="str">
        <f>IF($L307="","",IF($C307&gt;$M307,Overview!$B$26,IFERROR(INDEX(Fields!$F$5:$F$48,MATCH($D307,Fields!$A$5:$A$48,0)),0)))</f>
        <v/>
      </c>
      <c r="H307" s="22" t="str">
        <f t="shared" si="4"/>
        <v/>
      </c>
      <c r="I307" s="21" t="str">
        <f>IF($L307="","",IF($C307&gt;$M307,IF(Overview!$B$26=1,"uint8","uint8["&amp;Overview!$B$26&amp;"]"),IFERROR(INDEX(Fields!$E$5:$E$48,MATCH($D307,Fields!$A$5:$A$48,0)),"MISSING")))</f>
        <v/>
      </c>
      <c r="J307" s="21" t="str">
        <f>IF($L307="","",IF($C307&gt;$M307,"Fixed end-of-frame delimiter, value "&amp;Overview!$B$25&amp;".",IFERROR(INDEX(Fields!$G$5:$G$48,MATCH($D307,Fields!$A$5:$A$48,0)),"MISSING")))</f>
        <v/>
      </c>
      <c r="K307" s="21" t="str">
        <f>IF($L307="","",IF($C307&gt;$M307,"n/a",IFERROR(INDEX(Fields!$H$5:$H$48,MATCH($D307,Fields!$A$5:$A$48,0)),"MISSING")))</f>
        <v/>
      </c>
      <c r="L307" s="23" t="str">
        <f>IF(ROWS($L$5:L307)&gt;MAX('Packet Builder'!$O$5:$O$34),"",COUNTIF('Packet Builder'!$O$5:$O$34,"&lt;"&amp;ROWS($L$5:L307))+1)</f>
        <v/>
      </c>
      <c r="M307" s="23" t="str">
        <f>IF($L307="","",INDEX('Packet Builder'!$F$5:$F$34,$L307))</f>
        <v/>
      </c>
    </row>
    <row r="308" spans="1:13" x14ac:dyDescent="0.35">
      <c r="A308" s="21" t="str">
        <f>IF($L308="","",INDEX('Packet Builder'!$A$5:$A$34,$L308))</f>
        <v/>
      </c>
      <c r="B308" s="21" t="str">
        <f>IF($L308="","",INDEX('Packet Builder'!$B$5:$B$34,$L308))</f>
        <v/>
      </c>
      <c r="C308" s="22" t="str">
        <f>IF($L308="","",ROWS($L$5:L308)-(INDEX('Packet Builder'!$O$5:$O$34,$L308)-$M308-1))</f>
        <v/>
      </c>
      <c r="D308" s="22" t="str">
        <f>IF($L308="","",IF($C308&gt;$M308,"EOF",IFERROR(VALUE(TRIM(MID(SUBSTITUTE(INDEX('Packet Builder'!$P$5:$P$34,$L308),",",REPT(" ",LEN(INDEX('Packet Builder'!$P$5:$P$34,$L308)))),($C308-1)*LEN(INDEX('Packet Builder'!$P$5:$P$34,$L308))+1,LEN(INDEX('Packet Builder'!$P$5:$P$34,$L308))))),"ERR")))</f>
        <v/>
      </c>
      <c r="E308" s="21" t="str">
        <f>IF($L308="","",IF($C308&gt;$M308,"End of Frame Delimiter",IFERROR(INDEX(Fields!$B$5:$B$48,MATCH($D308,Fields!$A$5:$A$48,0)),"MISSING")))</f>
        <v/>
      </c>
      <c r="F308" s="22" t="str">
        <f>IF($L308="","",SUMIF($L$5:L308,L308,$G$5:G308)-G308)</f>
        <v/>
      </c>
      <c r="G308" s="22" t="str">
        <f>IF($L308="","",IF($C308&gt;$M308,Overview!$B$26,IFERROR(INDEX(Fields!$F$5:$F$48,MATCH($D308,Fields!$A$5:$A$48,0)),0)))</f>
        <v/>
      </c>
      <c r="H308" s="22" t="str">
        <f t="shared" si="4"/>
        <v/>
      </c>
      <c r="I308" s="21" t="str">
        <f>IF($L308="","",IF($C308&gt;$M308,IF(Overview!$B$26=1,"uint8","uint8["&amp;Overview!$B$26&amp;"]"),IFERROR(INDEX(Fields!$E$5:$E$48,MATCH($D308,Fields!$A$5:$A$48,0)),"MISSING")))</f>
        <v/>
      </c>
      <c r="J308" s="21" t="str">
        <f>IF($L308="","",IF($C308&gt;$M308,"Fixed end-of-frame delimiter, value "&amp;Overview!$B$25&amp;".",IFERROR(INDEX(Fields!$G$5:$G$48,MATCH($D308,Fields!$A$5:$A$48,0)),"MISSING")))</f>
        <v/>
      </c>
      <c r="K308" s="21" t="str">
        <f>IF($L308="","",IF($C308&gt;$M308,"n/a",IFERROR(INDEX(Fields!$H$5:$H$48,MATCH($D308,Fields!$A$5:$A$48,0)),"MISSING")))</f>
        <v/>
      </c>
      <c r="L308" s="23" t="str">
        <f>IF(ROWS($L$5:L308)&gt;MAX('Packet Builder'!$O$5:$O$34),"",COUNTIF('Packet Builder'!$O$5:$O$34,"&lt;"&amp;ROWS($L$5:L308))+1)</f>
        <v/>
      </c>
      <c r="M308" s="23" t="str">
        <f>IF($L308="","",INDEX('Packet Builder'!$F$5:$F$34,$L308))</f>
        <v/>
      </c>
    </row>
    <row r="309" spans="1:13" x14ac:dyDescent="0.35">
      <c r="A309" s="21" t="str">
        <f>IF($L309="","",INDEX('Packet Builder'!$A$5:$A$34,$L309))</f>
        <v/>
      </c>
      <c r="B309" s="21" t="str">
        <f>IF($L309="","",INDEX('Packet Builder'!$B$5:$B$34,$L309))</f>
        <v/>
      </c>
      <c r="C309" s="22" t="str">
        <f>IF($L309="","",ROWS($L$5:L309)-(INDEX('Packet Builder'!$O$5:$O$34,$L309)-$M309-1))</f>
        <v/>
      </c>
      <c r="D309" s="22" t="str">
        <f>IF($L309="","",IF($C309&gt;$M309,"EOF",IFERROR(VALUE(TRIM(MID(SUBSTITUTE(INDEX('Packet Builder'!$P$5:$P$34,$L309),",",REPT(" ",LEN(INDEX('Packet Builder'!$P$5:$P$34,$L309)))),($C309-1)*LEN(INDEX('Packet Builder'!$P$5:$P$34,$L309))+1,LEN(INDEX('Packet Builder'!$P$5:$P$34,$L309))))),"ERR")))</f>
        <v/>
      </c>
      <c r="E309" s="21" t="str">
        <f>IF($L309="","",IF($C309&gt;$M309,"End of Frame Delimiter",IFERROR(INDEX(Fields!$B$5:$B$48,MATCH($D309,Fields!$A$5:$A$48,0)),"MISSING")))</f>
        <v/>
      </c>
      <c r="F309" s="22" t="str">
        <f>IF($L309="","",SUMIF($L$5:L309,L309,$G$5:G309)-G309)</f>
        <v/>
      </c>
      <c r="G309" s="22" t="str">
        <f>IF($L309="","",IF($C309&gt;$M309,Overview!$B$26,IFERROR(INDEX(Fields!$F$5:$F$48,MATCH($D309,Fields!$A$5:$A$48,0)),0)))</f>
        <v/>
      </c>
      <c r="H309" s="22" t="str">
        <f t="shared" si="4"/>
        <v/>
      </c>
      <c r="I309" s="21" t="str">
        <f>IF($L309="","",IF($C309&gt;$M309,IF(Overview!$B$26=1,"uint8","uint8["&amp;Overview!$B$26&amp;"]"),IFERROR(INDEX(Fields!$E$5:$E$48,MATCH($D309,Fields!$A$5:$A$48,0)),"MISSING")))</f>
        <v/>
      </c>
      <c r="J309" s="21" t="str">
        <f>IF($L309="","",IF($C309&gt;$M309,"Fixed end-of-frame delimiter, value "&amp;Overview!$B$25&amp;".",IFERROR(INDEX(Fields!$G$5:$G$48,MATCH($D309,Fields!$A$5:$A$48,0)),"MISSING")))</f>
        <v/>
      </c>
      <c r="K309" s="21" t="str">
        <f>IF($L309="","",IF($C309&gt;$M309,"n/a",IFERROR(INDEX(Fields!$H$5:$H$48,MATCH($D309,Fields!$A$5:$A$48,0)),"MISSING")))</f>
        <v/>
      </c>
      <c r="L309" s="23" t="str">
        <f>IF(ROWS($L$5:L309)&gt;MAX('Packet Builder'!$O$5:$O$34),"",COUNTIF('Packet Builder'!$O$5:$O$34,"&lt;"&amp;ROWS($L$5:L309))+1)</f>
        <v/>
      </c>
      <c r="M309" s="23" t="str">
        <f>IF($L309="","",INDEX('Packet Builder'!$F$5:$F$34,$L309))</f>
        <v/>
      </c>
    </row>
    <row r="310" spans="1:13" x14ac:dyDescent="0.35">
      <c r="A310" s="21" t="str">
        <f>IF($L310="","",INDEX('Packet Builder'!$A$5:$A$34,$L310))</f>
        <v/>
      </c>
      <c r="B310" s="21" t="str">
        <f>IF($L310="","",INDEX('Packet Builder'!$B$5:$B$34,$L310))</f>
        <v/>
      </c>
      <c r="C310" s="22" t="str">
        <f>IF($L310="","",ROWS($L$5:L310)-(INDEX('Packet Builder'!$O$5:$O$34,$L310)-$M310-1))</f>
        <v/>
      </c>
      <c r="D310" s="22" t="str">
        <f>IF($L310="","",IF($C310&gt;$M310,"EOF",IFERROR(VALUE(TRIM(MID(SUBSTITUTE(INDEX('Packet Builder'!$P$5:$P$34,$L310),",",REPT(" ",LEN(INDEX('Packet Builder'!$P$5:$P$34,$L310)))),($C310-1)*LEN(INDEX('Packet Builder'!$P$5:$P$34,$L310))+1,LEN(INDEX('Packet Builder'!$P$5:$P$34,$L310))))),"ERR")))</f>
        <v/>
      </c>
      <c r="E310" s="21" t="str">
        <f>IF($L310="","",IF($C310&gt;$M310,"End of Frame Delimiter",IFERROR(INDEX(Fields!$B$5:$B$48,MATCH($D310,Fields!$A$5:$A$48,0)),"MISSING")))</f>
        <v/>
      </c>
      <c r="F310" s="22" t="str">
        <f>IF($L310="","",SUMIF($L$5:L310,L310,$G$5:G310)-G310)</f>
        <v/>
      </c>
      <c r="G310" s="22" t="str">
        <f>IF($L310="","",IF($C310&gt;$M310,Overview!$B$26,IFERROR(INDEX(Fields!$F$5:$F$48,MATCH($D310,Fields!$A$5:$A$48,0)),0)))</f>
        <v/>
      </c>
      <c r="H310" s="22" t="str">
        <f t="shared" si="4"/>
        <v/>
      </c>
      <c r="I310" s="21" t="str">
        <f>IF($L310="","",IF($C310&gt;$M310,IF(Overview!$B$26=1,"uint8","uint8["&amp;Overview!$B$26&amp;"]"),IFERROR(INDEX(Fields!$E$5:$E$48,MATCH($D310,Fields!$A$5:$A$48,0)),"MISSING")))</f>
        <v/>
      </c>
      <c r="J310" s="21" t="str">
        <f>IF($L310="","",IF($C310&gt;$M310,"Fixed end-of-frame delimiter, value "&amp;Overview!$B$25&amp;".",IFERROR(INDEX(Fields!$G$5:$G$48,MATCH($D310,Fields!$A$5:$A$48,0)),"MISSING")))</f>
        <v/>
      </c>
      <c r="K310" s="21" t="str">
        <f>IF($L310="","",IF($C310&gt;$M310,"n/a",IFERROR(INDEX(Fields!$H$5:$H$48,MATCH($D310,Fields!$A$5:$A$48,0)),"MISSING")))</f>
        <v/>
      </c>
      <c r="L310" s="23" t="str">
        <f>IF(ROWS($L$5:L310)&gt;MAX('Packet Builder'!$O$5:$O$34),"",COUNTIF('Packet Builder'!$O$5:$O$34,"&lt;"&amp;ROWS($L$5:L310))+1)</f>
        <v/>
      </c>
      <c r="M310" s="23" t="str">
        <f>IF($L310="","",INDEX('Packet Builder'!$F$5:$F$34,$L310))</f>
        <v/>
      </c>
    </row>
    <row r="311" spans="1:13" x14ac:dyDescent="0.35">
      <c r="A311" s="21" t="str">
        <f>IF($L311="","",INDEX('Packet Builder'!$A$5:$A$34,$L311))</f>
        <v/>
      </c>
      <c r="B311" s="21" t="str">
        <f>IF($L311="","",INDEX('Packet Builder'!$B$5:$B$34,$L311))</f>
        <v/>
      </c>
      <c r="C311" s="22" t="str">
        <f>IF($L311="","",ROWS($L$5:L311)-(INDEX('Packet Builder'!$O$5:$O$34,$L311)-$M311-1))</f>
        <v/>
      </c>
      <c r="D311" s="22" t="str">
        <f>IF($L311="","",IF($C311&gt;$M311,"EOF",IFERROR(VALUE(TRIM(MID(SUBSTITUTE(INDEX('Packet Builder'!$P$5:$P$34,$L311),",",REPT(" ",LEN(INDEX('Packet Builder'!$P$5:$P$34,$L311)))),($C311-1)*LEN(INDEX('Packet Builder'!$P$5:$P$34,$L311))+1,LEN(INDEX('Packet Builder'!$P$5:$P$34,$L311))))),"ERR")))</f>
        <v/>
      </c>
      <c r="E311" s="21" t="str">
        <f>IF($L311="","",IF($C311&gt;$M311,"End of Frame Delimiter",IFERROR(INDEX(Fields!$B$5:$B$48,MATCH($D311,Fields!$A$5:$A$48,0)),"MISSING")))</f>
        <v/>
      </c>
      <c r="F311" s="22" t="str">
        <f>IF($L311="","",SUMIF($L$5:L311,L311,$G$5:G311)-G311)</f>
        <v/>
      </c>
      <c r="G311" s="22" t="str">
        <f>IF($L311="","",IF($C311&gt;$M311,Overview!$B$26,IFERROR(INDEX(Fields!$F$5:$F$48,MATCH($D311,Fields!$A$5:$A$48,0)),0)))</f>
        <v/>
      </c>
      <c r="H311" s="22" t="str">
        <f t="shared" si="4"/>
        <v/>
      </c>
      <c r="I311" s="21" t="str">
        <f>IF($L311="","",IF($C311&gt;$M311,IF(Overview!$B$26=1,"uint8","uint8["&amp;Overview!$B$26&amp;"]"),IFERROR(INDEX(Fields!$E$5:$E$48,MATCH($D311,Fields!$A$5:$A$48,0)),"MISSING")))</f>
        <v/>
      </c>
      <c r="J311" s="21" t="str">
        <f>IF($L311="","",IF($C311&gt;$M311,"Fixed end-of-frame delimiter, value "&amp;Overview!$B$25&amp;".",IFERROR(INDEX(Fields!$G$5:$G$48,MATCH($D311,Fields!$A$5:$A$48,0)),"MISSING")))</f>
        <v/>
      </c>
      <c r="K311" s="21" t="str">
        <f>IF($L311="","",IF($C311&gt;$M311,"n/a",IFERROR(INDEX(Fields!$H$5:$H$48,MATCH($D311,Fields!$A$5:$A$48,0)),"MISSING")))</f>
        <v/>
      </c>
      <c r="L311" s="23" t="str">
        <f>IF(ROWS($L$5:L311)&gt;MAX('Packet Builder'!$O$5:$O$34),"",COUNTIF('Packet Builder'!$O$5:$O$34,"&lt;"&amp;ROWS($L$5:L311))+1)</f>
        <v/>
      </c>
      <c r="M311" s="23" t="str">
        <f>IF($L311="","",INDEX('Packet Builder'!$F$5:$F$34,$L311))</f>
        <v/>
      </c>
    </row>
    <row r="312" spans="1:13" x14ac:dyDescent="0.35">
      <c r="A312" s="21" t="str">
        <f>IF($L312="","",INDEX('Packet Builder'!$A$5:$A$34,$L312))</f>
        <v/>
      </c>
      <c r="B312" s="21" t="str">
        <f>IF($L312="","",INDEX('Packet Builder'!$B$5:$B$34,$L312))</f>
        <v/>
      </c>
      <c r="C312" s="22" t="str">
        <f>IF($L312="","",ROWS($L$5:L312)-(INDEX('Packet Builder'!$O$5:$O$34,$L312)-$M312-1))</f>
        <v/>
      </c>
      <c r="D312" s="22" t="str">
        <f>IF($L312="","",IF($C312&gt;$M312,"EOF",IFERROR(VALUE(TRIM(MID(SUBSTITUTE(INDEX('Packet Builder'!$P$5:$P$34,$L312),",",REPT(" ",LEN(INDEX('Packet Builder'!$P$5:$P$34,$L312)))),($C312-1)*LEN(INDEX('Packet Builder'!$P$5:$P$34,$L312))+1,LEN(INDEX('Packet Builder'!$P$5:$P$34,$L312))))),"ERR")))</f>
        <v/>
      </c>
      <c r="E312" s="21" t="str">
        <f>IF($L312="","",IF($C312&gt;$M312,"End of Frame Delimiter",IFERROR(INDEX(Fields!$B$5:$B$48,MATCH($D312,Fields!$A$5:$A$48,0)),"MISSING")))</f>
        <v/>
      </c>
      <c r="F312" s="22" t="str">
        <f>IF($L312="","",SUMIF($L$5:L312,L312,$G$5:G312)-G312)</f>
        <v/>
      </c>
      <c r="G312" s="22" t="str">
        <f>IF($L312="","",IF($C312&gt;$M312,Overview!$B$26,IFERROR(INDEX(Fields!$F$5:$F$48,MATCH($D312,Fields!$A$5:$A$48,0)),0)))</f>
        <v/>
      </c>
      <c r="H312" s="22" t="str">
        <f t="shared" si="4"/>
        <v/>
      </c>
      <c r="I312" s="21" t="str">
        <f>IF($L312="","",IF($C312&gt;$M312,IF(Overview!$B$26=1,"uint8","uint8["&amp;Overview!$B$26&amp;"]"),IFERROR(INDEX(Fields!$E$5:$E$48,MATCH($D312,Fields!$A$5:$A$48,0)),"MISSING")))</f>
        <v/>
      </c>
      <c r="J312" s="21" t="str">
        <f>IF($L312="","",IF($C312&gt;$M312,"Fixed end-of-frame delimiter, value "&amp;Overview!$B$25&amp;".",IFERROR(INDEX(Fields!$G$5:$G$48,MATCH($D312,Fields!$A$5:$A$48,0)),"MISSING")))</f>
        <v/>
      </c>
      <c r="K312" s="21" t="str">
        <f>IF($L312="","",IF($C312&gt;$M312,"n/a",IFERROR(INDEX(Fields!$H$5:$H$48,MATCH($D312,Fields!$A$5:$A$48,0)),"MISSING")))</f>
        <v/>
      </c>
      <c r="L312" s="23" t="str">
        <f>IF(ROWS($L$5:L312)&gt;MAX('Packet Builder'!$O$5:$O$34),"",COUNTIF('Packet Builder'!$O$5:$O$34,"&lt;"&amp;ROWS($L$5:L312))+1)</f>
        <v/>
      </c>
      <c r="M312" s="23" t="str">
        <f>IF($L312="","",INDEX('Packet Builder'!$F$5:$F$34,$L312))</f>
        <v/>
      </c>
    </row>
    <row r="313" spans="1:13" x14ac:dyDescent="0.35">
      <c r="A313" s="21" t="str">
        <f>IF($L313="","",INDEX('Packet Builder'!$A$5:$A$34,$L313))</f>
        <v/>
      </c>
      <c r="B313" s="21" t="str">
        <f>IF($L313="","",INDEX('Packet Builder'!$B$5:$B$34,$L313))</f>
        <v/>
      </c>
      <c r="C313" s="22" t="str">
        <f>IF($L313="","",ROWS($L$5:L313)-(INDEX('Packet Builder'!$O$5:$O$34,$L313)-$M313-1))</f>
        <v/>
      </c>
      <c r="D313" s="22" t="str">
        <f>IF($L313="","",IF($C313&gt;$M313,"EOF",IFERROR(VALUE(TRIM(MID(SUBSTITUTE(INDEX('Packet Builder'!$P$5:$P$34,$L313),",",REPT(" ",LEN(INDEX('Packet Builder'!$P$5:$P$34,$L313)))),($C313-1)*LEN(INDEX('Packet Builder'!$P$5:$P$34,$L313))+1,LEN(INDEX('Packet Builder'!$P$5:$P$34,$L313))))),"ERR")))</f>
        <v/>
      </c>
      <c r="E313" s="21" t="str">
        <f>IF($L313="","",IF($C313&gt;$M313,"End of Frame Delimiter",IFERROR(INDEX(Fields!$B$5:$B$48,MATCH($D313,Fields!$A$5:$A$48,0)),"MISSING")))</f>
        <v/>
      </c>
      <c r="F313" s="22" t="str">
        <f>IF($L313="","",SUMIF($L$5:L313,L313,$G$5:G313)-G313)</f>
        <v/>
      </c>
      <c r="G313" s="22" t="str">
        <f>IF($L313="","",IF($C313&gt;$M313,Overview!$B$26,IFERROR(INDEX(Fields!$F$5:$F$48,MATCH($D313,Fields!$A$5:$A$48,0)),0)))</f>
        <v/>
      </c>
      <c r="H313" s="22" t="str">
        <f t="shared" si="4"/>
        <v/>
      </c>
      <c r="I313" s="21" t="str">
        <f>IF($L313="","",IF($C313&gt;$M313,IF(Overview!$B$26=1,"uint8","uint8["&amp;Overview!$B$26&amp;"]"),IFERROR(INDEX(Fields!$E$5:$E$48,MATCH($D313,Fields!$A$5:$A$48,0)),"MISSING")))</f>
        <v/>
      </c>
      <c r="J313" s="21" t="str">
        <f>IF($L313="","",IF($C313&gt;$M313,"Fixed end-of-frame delimiter, value "&amp;Overview!$B$25&amp;".",IFERROR(INDEX(Fields!$G$5:$G$48,MATCH($D313,Fields!$A$5:$A$48,0)),"MISSING")))</f>
        <v/>
      </c>
      <c r="K313" s="21" t="str">
        <f>IF($L313="","",IF($C313&gt;$M313,"n/a",IFERROR(INDEX(Fields!$H$5:$H$48,MATCH($D313,Fields!$A$5:$A$48,0)),"MISSING")))</f>
        <v/>
      </c>
      <c r="L313" s="23" t="str">
        <f>IF(ROWS($L$5:L313)&gt;MAX('Packet Builder'!$O$5:$O$34),"",COUNTIF('Packet Builder'!$O$5:$O$34,"&lt;"&amp;ROWS($L$5:L313))+1)</f>
        <v/>
      </c>
      <c r="M313" s="23" t="str">
        <f>IF($L313="","",INDEX('Packet Builder'!$F$5:$F$34,$L313))</f>
        <v/>
      </c>
    </row>
    <row r="314" spans="1:13" x14ac:dyDescent="0.35">
      <c r="A314" s="21" t="str">
        <f>IF($L314="","",INDEX('Packet Builder'!$A$5:$A$34,$L314))</f>
        <v/>
      </c>
      <c r="B314" s="21" t="str">
        <f>IF($L314="","",INDEX('Packet Builder'!$B$5:$B$34,$L314))</f>
        <v/>
      </c>
      <c r="C314" s="22" t="str">
        <f>IF($L314="","",ROWS($L$5:L314)-(INDEX('Packet Builder'!$O$5:$O$34,$L314)-$M314-1))</f>
        <v/>
      </c>
      <c r="D314" s="22" t="str">
        <f>IF($L314="","",IF($C314&gt;$M314,"EOF",IFERROR(VALUE(TRIM(MID(SUBSTITUTE(INDEX('Packet Builder'!$P$5:$P$34,$L314),",",REPT(" ",LEN(INDEX('Packet Builder'!$P$5:$P$34,$L314)))),($C314-1)*LEN(INDEX('Packet Builder'!$P$5:$P$34,$L314))+1,LEN(INDEX('Packet Builder'!$P$5:$P$34,$L314))))),"ERR")))</f>
        <v/>
      </c>
      <c r="E314" s="21" t="str">
        <f>IF($L314="","",IF($C314&gt;$M314,"End of Frame Delimiter",IFERROR(INDEX(Fields!$B$5:$B$48,MATCH($D314,Fields!$A$5:$A$48,0)),"MISSING")))</f>
        <v/>
      </c>
      <c r="F314" s="22" t="str">
        <f>IF($L314="","",SUMIF($L$5:L314,L314,$G$5:G314)-G314)</f>
        <v/>
      </c>
      <c r="G314" s="22" t="str">
        <f>IF($L314="","",IF($C314&gt;$M314,Overview!$B$26,IFERROR(INDEX(Fields!$F$5:$F$48,MATCH($D314,Fields!$A$5:$A$48,0)),0)))</f>
        <v/>
      </c>
      <c r="H314" s="22" t="str">
        <f t="shared" si="4"/>
        <v/>
      </c>
      <c r="I314" s="21" t="str">
        <f>IF($L314="","",IF($C314&gt;$M314,IF(Overview!$B$26=1,"uint8","uint8["&amp;Overview!$B$26&amp;"]"),IFERROR(INDEX(Fields!$E$5:$E$48,MATCH($D314,Fields!$A$5:$A$48,0)),"MISSING")))</f>
        <v/>
      </c>
      <c r="J314" s="21" t="str">
        <f>IF($L314="","",IF($C314&gt;$M314,"Fixed end-of-frame delimiter, value "&amp;Overview!$B$25&amp;".",IFERROR(INDEX(Fields!$G$5:$G$48,MATCH($D314,Fields!$A$5:$A$48,0)),"MISSING")))</f>
        <v/>
      </c>
      <c r="K314" s="21" t="str">
        <f>IF($L314="","",IF($C314&gt;$M314,"n/a",IFERROR(INDEX(Fields!$H$5:$H$48,MATCH($D314,Fields!$A$5:$A$48,0)),"MISSING")))</f>
        <v/>
      </c>
      <c r="L314" s="23" t="str">
        <f>IF(ROWS($L$5:L314)&gt;MAX('Packet Builder'!$O$5:$O$34),"",COUNTIF('Packet Builder'!$O$5:$O$34,"&lt;"&amp;ROWS($L$5:L314))+1)</f>
        <v/>
      </c>
      <c r="M314" s="23" t="str">
        <f>IF($L314="","",INDEX('Packet Builder'!$F$5:$F$34,$L314))</f>
        <v/>
      </c>
    </row>
    <row r="315" spans="1:13" x14ac:dyDescent="0.35">
      <c r="A315" s="21" t="str">
        <f>IF($L315="","",INDEX('Packet Builder'!$A$5:$A$34,$L315))</f>
        <v/>
      </c>
      <c r="B315" s="21" t="str">
        <f>IF($L315="","",INDEX('Packet Builder'!$B$5:$B$34,$L315))</f>
        <v/>
      </c>
      <c r="C315" s="22" t="str">
        <f>IF($L315="","",ROWS($L$5:L315)-(INDEX('Packet Builder'!$O$5:$O$34,$L315)-$M315-1))</f>
        <v/>
      </c>
      <c r="D315" s="22" t="str">
        <f>IF($L315="","",IF($C315&gt;$M315,"EOF",IFERROR(VALUE(TRIM(MID(SUBSTITUTE(INDEX('Packet Builder'!$P$5:$P$34,$L315),",",REPT(" ",LEN(INDEX('Packet Builder'!$P$5:$P$34,$L315)))),($C315-1)*LEN(INDEX('Packet Builder'!$P$5:$P$34,$L315))+1,LEN(INDEX('Packet Builder'!$P$5:$P$34,$L315))))),"ERR")))</f>
        <v/>
      </c>
      <c r="E315" s="21" t="str">
        <f>IF($L315="","",IF($C315&gt;$M315,"End of Frame Delimiter",IFERROR(INDEX(Fields!$B$5:$B$48,MATCH($D315,Fields!$A$5:$A$48,0)),"MISSING")))</f>
        <v/>
      </c>
      <c r="F315" s="22" t="str">
        <f>IF($L315="","",SUMIF($L$5:L315,L315,$G$5:G315)-G315)</f>
        <v/>
      </c>
      <c r="G315" s="22" t="str">
        <f>IF($L315="","",IF($C315&gt;$M315,Overview!$B$26,IFERROR(INDEX(Fields!$F$5:$F$48,MATCH($D315,Fields!$A$5:$A$48,0)),0)))</f>
        <v/>
      </c>
      <c r="H315" s="22" t="str">
        <f t="shared" si="4"/>
        <v/>
      </c>
      <c r="I315" s="21" t="str">
        <f>IF($L315="","",IF($C315&gt;$M315,IF(Overview!$B$26=1,"uint8","uint8["&amp;Overview!$B$26&amp;"]"),IFERROR(INDEX(Fields!$E$5:$E$48,MATCH($D315,Fields!$A$5:$A$48,0)),"MISSING")))</f>
        <v/>
      </c>
      <c r="J315" s="21" t="str">
        <f>IF($L315="","",IF($C315&gt;$M315,"Fixed end-of-frame delimiter, value "&amp;Overview!$B$25&amp;".",IFERROR(INDEX(Fields!$G$5:$G$48,MATCH($D315,Fields!$A$5:$A$48,0)),"MISSING")))</f>
        <v/>
      </c>
      <c r="K315" s="21" t="str">
        <f>IF($L315="","",IF($C315&gt;$M315,"n/a",IFERROR(INDEX(Fields!$H$5:$H$48,MATCH($D315,Fields!$A$5:$A$48,0)),"MISSING")))</f>
        <v/>
      </c>
      <c r="L315" s="23" t="str">
        <f>IF(ROWS($L$5:L315)&gt;MAX('Packet Builder'!$O$5:$O$34),"",COUNTIF('Packet Builder'!$O$5:$O$34,"&lt;"&amp;ROWS($L$5:L315))+1)</f>
        <v/>
      </c>
      <c r="M315" s="23" t="str">
        <f>IF($L315="","",INDEX('Packet Builder'!$F$5:$F$34,$L315))</f>
        <v/>
      </c>
    </row>
    <row r="316" spans="1:13" x14ac:dyDescent="0.35">
      <c r="A316" s="21" t="str">
        <f>IF($L316="","",INDEX('Packet Builder'!$A$5:$A$34,$L316))</f>
        <v/>
      </c>
      <c r="B316" s="21" t="str">
        <f>IF($L316="","",INDEX('Packet Builder'!$B$5:$B$34,$L316))</f>
        <v/>
      </c>
      <c r="C316" s="22" t="str">
        <f>IF($L316="","",ROWS($L$5:L316)-(INDEX('Packet Builder'!$O$5:$O$34,$L316)-$M316-1))</f>
        <v/>
      </c>
      <c r="D316" s="22" t="str">
        <f>IF($L316="","",IF($C316&gt;$M316,"EOF",IFERROR(VALUE(TRIM(MID(SUBSTITUTE(INDEX('Packet Builder'!$P$5:$P$34,$L316),",",REPT(" ",LEN(INDEX('Packet Builder'!$P$5:$P$34,$L316)))),($C316-1)*LEN(INDEX('Packet Builder'!$P$5:$P$34,$L316))+1,LEN(INDEX('Packet Builder'!$P$5:$P$34,$L316))))),"ERR")))</f>
        <v/>
      </c>
      <c r="E316" s="21" t="str">
        <f>IF($L316="","",IF($C316&gt;$M316,"End of Frame Delimiter",IFERROR(INDEX(Fields!$B$5:$B$48,MATCH($D316,Fields!$A$5:$A$48,0)),"MISSING")))</f>
        <v/>
      </c>
      <c r="F316" s="22" t="str">
        <f>IF($L316="","",SUMIF($L$5:L316,L316,$G$5:G316)-G316)</f>
        <v/>
      </c>
      <c r="G316" s="22" t="str">
        <f>IF($L316="","",IF($C316&gt;$M316,Overview!$B$26,IFERROR(INDEX(Fields!$F$5:$F$48,MATCH($D316,Fields!$A$5:$A$48,0)),0)))</f>
        <v/>
      </c>
      <c r="H316" s="22" t="str">
        <f t="shared" si="4"/>
        <v/>
      </c>
      <c r="I316" s="21" t="str">
        <f>IF($L316="","",IF($C316&gt;$M316,IF(Overview!$B$26=1,"uint8","uint8["&amp;Overview!$B$26&amp;"]"),IFERROR(INDEX(Fields!$E$5:$E$48,MATCH($D316,Fields!$A$5:$A$48,0)),"MISSING")))</f>
        <v/>
      </c>
      <c r="J316" s="21" t="str">
        <f>IF($L316="","",IF($C316&gt;$M316,"Fixed end-of-frame delimiter, value "&amp;Overview!$B$25&amp;".",IFERROR(INDEX(Fields!$G$5:$G$48,MATCH($D316,Fields!$A$5:$A$48,0)),"MISSING")))</f>
        <v/>
      </c>
      <c r="K316" s="21" t="str">
        <f>IF($L316="","",IF($C316&gt;$M316,"n/a",IFERROR(INDEX(Fields!$H$5:$H$48,MATCH($D316,Fields!$A$5:$A$48,0)),"MISSING")))</f>
        <v/>
      </c>
      <c r="L316" s="23" t="str">
        <f>IF(ROWS($L$5:L316)&gt;MAX('Packet Builder'!$O$5:$O$34),"",COUNTIF('Packet Builder'!$O$5:$O$34,"&lt;"&amp;ROWS($L$5:L316))+1)</f>
        <v/>
      </c>
      <c r="M316" s="23" t="str">
        <f>IF($L316="","",INDEX('Packet Builder'!$F$5:$F$34,$L316))</f>
        <v/>
      </c>
    </row>
    <row r="317" spans="1:13" x14ac:dyDescent="0.35">
      <c r="A317" s="21" t="str">
        <f>IF($L317="","",INDEX('Packet Builder'!$A$5:$A$34,$L317))</f>
        <v/>
      </c>
      <c r="B317" s="21" t="str">
        <f>IF($L317="","",INDEX('Packet Builder'!$B$5:$B$34,$L317))</f>
        <v/>
      </c>
      <c r="C317" s="22" t="str">
        <f>IF($L317="","",ROWS($L$5:L317)-(INDEX('Packet Builder'!$O$5:$O$34,$L317)-$M317-1))</f>
        <v/>
      </c>
      <c r="D317" s="22" t="str">
        <f>IF($L317="","",IF($C317&gt;$M317,"EOF",IFERROR(VALUE(TRIM(MID(SUBSTITUTE(INDEX('Packet Builder'!$P$5:$P$34,$L317),",",REPT(" ",LEN(INDEX('Packet Builder'!$P$5:$P$34,$L317)))),($C317-1)*LEN(INDEX('Packet Builder'!$P$5:$P$34,$L317))+1,LEN(INDEX('Packet Builder'!$P$5:$P$34,$L317))))),"ERR")))</f>
        <v/>
      </c>
      <c r="E317" s="21" t="str">
        <f>IF($L317="","",IF($C317&gt;$M317,"End of Frame Delimiter",IFERROR(INDEX(Fields!$B$5:$B$48,MATCH($D317,Fields!$A$5:$A$48,0)),"MISSING")))</f>
        <v/>
      </c>
      <c r="F317" s="22" t="str">
        <f>IF($L317="","",SUMIF($L$5:L317,L317,$G$5:G317)-G317)</f>
        <v/>
      </c>
      <c r="G317" s="22" t="str">
        <f>IF($L317="","",IF($C317&gt;$M317,Overview!$B$26,IFERROR(INDEX(Fields!$F$5:$F$48,MATCH($D317,Fields!$A$5:$A$48,0)),0)))</f>
        <v/>
      </c>
      <c r="H317" s="22" t="str">
        <f t="shared" si="4"/>
        <v/>
      </c>
      <c r="I317" s="21" t="str">
        <f>IF($L317="","",IF($C317&gt;$M317,IF(Overview!$B$26=1,"uint8","uint8["&amp;Overview!$B$26&amp;"]"),IFERROR(INDEX(Fields!$E$5:$E$48,MATCH($D317,Fields!$A$5:$A$48,0)),"MISSING")))</f>
        <v/>
      </c>
      <c r="J317" s="21" t="str">
        <f>IF($L317="","",IF($C317&gt;$M317,"Fixed end-of-frame delimiter, value "&amp;Overview!$B$25&amp;".",IFERROR(INDEX(Fields!$G$5:$G$48,MATCH($D317,Fields!$A$5:$A$48,0)),"MISSING")))</f>
        <v/>
      </c>
      <c r="K317" s="21" t="str">
        <f>IF($L317="","",IF($C317&gt;$M317,"n/a",IFERROR(INDEX(Fields!$H$5:$H$48,MATCH($D317,Fields!$A$5:$A$48,0)),"MISSING")))</f>
        <v/>
      </c>
      <c r="L317" s="23" t="str">
        <f>IF(ROWS($L$5:L317)&gt;MAX('Packet Builder'!$O$5:$O$34),"",COUNTIF('Packet Builder'!$O$5:$O$34,"&lt;"&amp;ROWS($L$5:L317))+1)</f>
        <v/>
      </c>
      <c r="M317" s="23" t="str">
        <f>IF($L317="","",INDEX('Packet Builder'!$F$5:$F$34,$L317))</f>
        <v/>
      </c>
    </row>
    <row r="318" spans="1:13" x14ac:dyDescent="0.35">
      <c r="A318" s="21" t="str">
        <f>IF($L318="","",INDEX('Packet Builder'!$A$5:$A$34,$L318))</f>
        <v/>
      </c>
      <c r="B318" s="21" t="str">
        <f>IF($L318="","",INDEX('Packet Builder'!$B$5:$B$34,$L318))</f>
        <v/>
      </c>
      <c r="C318" s="22" t="str">
        <f>IF($L318="","",ROWS($L$5:L318)-(INDEX('Packet Builder'!$O$5:$O$34,$L318)-$M318-1))</f>
        <v/>
      </c>
      <c r="D318" s="22" t="str">
        <f>IF($L318="","",IF($C318&gt;$M318,"EOF",IFERROR(VALUE(TRIM(MID(SUBSTITUTE(INDEX('Packet Builder'!$P$5:$P$34,$L318),",",REPT(" ",LEN(INDEX('Packet Builder'!$P$5:$P$34,$L318)))),($C318-1)*LEN(INDEX('Packet Builder'!$P$5:$P$34,$L318))+1,LEN(INDEX('Packet Builder'!$P$5:$P$34,$L318))))),"ERR")))</f>
        <v/>
      </c>
      <c r="E318" s="21" t="str">
        <f>IF($L318="","",IF($C318&gt;$M318,"End of Frame Delimiter",IFERROR(INDEX(Fields!$B$5:$B$48,MATCH($D318,Fields!$A$5:$A$48,0)),"MISSING")))</f>
        <v/>
      </c>
      <c r="F318" s="22" t="str">
        <f>IF($L318="","",SUMIF($L$5:L318,L318,$G$5:G318)-G318)</f>
        <v/>
      </c>
      <c r="G318" s="22" t="str">
        <f>IF($L318="","",IF($C318&gt;$M318,Overview!$B$26,IFERROR(INDEX(Fields!$F$5:$F$48,MATCH($D318,Fields!$A$5:$A$48,0)),0)))</f>
        <v/>
      </c>
      <c r="H318" s="22" t="str">
        <f t="shared" si="4"/>
        <v/>
      </c>
      <c r="I318" s="21" t="str">
        <f>IF($L318="","",IF($C318&gt;$M318,IF(Overview!$B$26=1,"uint8","uint8["&amp;Overview!$B$26&amp;"]"),IFERROR(INDEX(Fields!$E$5:$E$48,MATCH($D318,Fields!$A$5:$A$48,0)),"MISSING")))</f>
        <v/>
      </c>
      <c r="J318" s="21" t="str">
        <f>IF($L318="","",IF($C318&gt;$M318,"Fixed end-of-frame delimiter, value "&amp;Overview!$B$25&amp;".",IFERROR(INDEX(Fields!$G$5:$G$48,MATCH($D318,Fields!$A$5:$A$48,0)),"MISSING")))</f>
        <v/>
      </c>
      <c r="K318" s="21" t="str">
        <f>IF($L318="","",IF($C318&gt;$M318,"n/a",IFERROR(INDEX(Fields!$H$5:$H$48,MATCH($D318,Fields!$A$5:$A$48,0)),"MISSING")))</f>
        <v/>
      </c>
      <c r="L318" s="23" t="str">
        <f>IF(ROWS($L$5:L318)&gt;MAX('Packet Builder'!$O$5:$O$34),"",COUNTIF('Packet Builder'!$O$5:$O$34,"&lt;"&amp;ROWS($L$5:L318))+1)</f>
        <v/>
      </c>
      <c r="M318" s="23" t="str">
        <f>IF($L318="","",INDEX('Packet Builder'!$F$5:$F$34,$L318))</f>
        <v/>
      </c>
    </row>
    <row r="319" spans="1:13" x14ac:dyDescent="0.35">
      <c r="A319" s="21" t="str">
        <f>IF($L319="","",INDEX('Packet Builder'!$A$5:$A$34,$L319))</f>
        <v/>
      </c>
      <c r="B319" s="21" t="str">
        <f>IF($L319="","",INDEX('Packet Builder'!$B$5:$B$34,$L319))</f>
        <v/>
      </c>
      <c r="C319" s="22" t="str">
        <f>IF($L319="","",ROWS($L$5:L319)-(INDEX('Packet Builder'!$O$5:$O$34,$L319)-$M319-1))</f>
        <v/>
      </c>
      <c r="D319" s="22" t="str">
        <f>IF($L319="","",IF($C319&gt;$M319,"EOF",IFERROR(VALUE(TRIM(MID(SUBSTITUTE(INDEX('Packet Builder'!$P$5:$P$34,$L319),",",REPT(" ",LEN(INDEX('Packet Builder'!$P$5:$P$34,$L319)))),($C319-1)*LEN(INDEX('Packet Builder'!$P$5:$P$34,$L319))+1,LEN(INDEX('Packet Builder'!$P$5:$P$34,$L319))))),"ERR")))</f>
        <v/>
      </c>
      <c r="E319" s="21" t="str">
        <f>IF($L319="","",IF($C319&gt;$M319,"End of Frame Delimiter",IFERROR(INDEX(Fields!$B$5:$B$48,MATCH($D319,Fields!$A$5:$A$48,0)),"MISSING")))</f>
        <v/>
      </c>
      <c r="F319" s="22" t="str">
        <f>IF($L319="","",SUMIF($L$5:L319,L319,$G$5:G319)-G319)</f>
        <v/>
      </c>
      <c r="G319" s="22" t="str">
        <f>IF($L319="","",IF($C319&gt;$M319,Overview!$B$26,IFERROR(INDEX(Fields!$F$5:$F$48,MATCH($D319,Fields!$A$5:$A$48,0)),0)))</f>
        <v/>
      </c>
      <c r="H319" s="22" t="str">
        <f t="shared" si="4"/>
        <v/>
      </c>
      <c r="I319" s="21" t="str">
        <f>IF($L319="","",IF($C319&gt;$M319,IF(Overview!$B$26=1,"uint8","uint8["&amp;Overview!$B$26&amp;"]"),IFERROR(INDEX(Fields!$E$5:$E$48,MATCH($D319,Fields!$A$5:$A$48,0)),"MISSING")))</f>
        <v/>
      </c>
      <c r="J319" s="21" t="str">
        <f>IF($L319="","",IF($C319&gt;$M319,"Fixed end-of-frame delimiter, value "&amp;Overview!$B$25&amp;".",IFERROR(INDEX(Fields!$G$5:$G$48,MATCH($D319,Fields!$A$5:$A$48,0)),"MISSING")))</f>
        <v/>
      </c>
      <c r="K319" s="21" t="str">
        <f>IF($L319="","",IF($C319&gt;$M319,"n/a",IFERROR(INDEX(Fields!$H$5:$H$48,MATCH($D319,Fields!$A$5:$A$48,0)),"MISSING")))</f>
        <v/>
      </c>
      <c r="L319" s="23" t="str">
        <f>IF(ROWS($L$5:L319)&gt;MAX('Packet Builder'!$O$5:$O$34),"",COUNTIF('Packet Builder'!$O$5:$O$34,"&lt;"&amp;ROWS($L$5:L319))+1)</f>
        <v/>
      </c>
      <c r="M319" s="23" t="str">
        <f>IF($L319="","",INDEX('Packet Builder'!$F$5:$F$34,$L319))</f>
        <v/>
      </c>
    </row>
    <row r="320" spans="1:13" x14ac:dyDescent="0.35">
      <c r="A320" s="21" t="str">
        <f>IF($L320="","",INDEX('Packet Builder'!$A$5:$A$34,$L320))</f>
        <v/>
      </c>
      <c r="B320" s="21" t="str">
        <f>IF($L320="","",INDEX('Packet Builder'!$B$5:$B$34,$L320))</f>
        <v/>
      </c>
      <c r="C320" s="22" t="str">
        <f>IF($L320="","",ROWS($L$5:L320)-(INDEX('Packet Builder'!$O$5:$O$34,$L320)-$M320-1))</f>
        <v/>
      </c>
      <c r="D320" s="22" t="str">
        <f>IF($L320="","",IF($C320&gt;$M320,"EOF",IFERROR(VALUE(TRIM(MID(SUBSTITUTE(INDEX('Packet Builder'!$P$5:$P$34,$L320),",",REPT(" ",LEN(INDEX('Packet Builder'!$P$5:$P$34,$L320)))),($C320-1)*LEN(INDEX('Packet Builder'!$P$5:$P$34,$L320))+1,LEN(INDEX('Packet Builder'!$P$5:$P$34,$L320))))),"ERR")))</f>
        <v/>
      </c>
      <c r="E320" s="21" t="str">
        <f>IF($L320="","",IF($C320&gt;$M320,"End of Frame Delimiter",IFERROR(INDEX(Fields!$B$5:$B$48,MATCH($D320,Fields!$A$5:$A$48,0)),"MISSING")))</f>
        <v/>
      </c>
      <c r="F320" s="22" t="str">
        <f>IF($L320="","",SUMIF($L$5:L320,L320,$G$5:G320)-G320)</f>
        <v/>
      </c>
      <c r="G320" s="22" t="str">
        <f>IF($L320="","",IF($C320&gt;$M320,Overview!$B$26,IFERROR(INDEX(Fields!$F$5:$F$48,MATCH($D320,Fields!$A$5:$A$48,0)),0)))</f>
        <v/>
      </c>
      <c r="H320" s="22" t="str">
        <f t="shared" si="4"/>
        <v/>
      </c>
      <c r="I320" s="21" t="str">
        <f>IF($L320="","",IF($C320&gt;$M320,IF(Overview!$B$26=1,"uint8","uint8["&amp;Overview!$B$26&amp;"]"),IFERROR(INDEX(Fields!$E$5:$E$48,MATCH($D320,Fields!$A$5:$A$48,0)),"MISSING")))</f>
        <v/>
      </c>
      <c r="J320" s="21" t="str">
        <f>IF($L320="","",IF($C320&gt;$M320,"Fixed end-of-frame delimiter, value "&amp;Overview!$B$25&amp;".",IFERROR(INDEX(Fields!$G$5:$G$48,MATCH($D320,Fields!$A$5:$A$48,0)),"MISSING")))</f>
        <v/>
      </c>
      <c r="K320" s="21" t="str">
        <f>IF($L320="","",IF($C320&gt;$M320,"n/a",IFERROR(INDEX(Fields!$H$5:$H$48,MATCH($D320,Fields!$A$5:$A$48,0)),"MISSING")))</f>
        <v/>
      </c>
      <c r="L320" s="23" t="str">
        <f>IF(ROWS($L$5:L320)&gt;MAX('Packet Builder'!$O$5:$O$34),"",COUNTIF('Packet Builder'!$O$5:$O$34,"&lt;"&amp;ROWS($L$5:L320))+1)</f>
        <v/>
      </c>
      <c r="M320" s="23" t="str">
        <f>IF($L320="","",INDEX('Packet Builder'!$F$5:$F$34,$L320))</f>
        <v/>
      </c>
    </row>
    <row r="321" spans="1:13" x14ac:dyDescent="0.35">
      <c r="A321" s="21" t="str">
        <f>IF($L321="","",INDEX('Packet Builder'!$A$5:$A$34,$L321))</f>
        <v/>
      </c>
      <c r="B321" s="21" t="str">
        <f>IF($L321="","",INDEX('Packet Builder'!$B$5:$B$34,$L321))</f>
        <v/>
      </c>
      <c r="C321" s="22" t="str">
        <f>IF($L321="","",ROWS($L$5:L321)-(INDEX('Packet Builder'!$O$5:$O$34,$L321)-$M321-1))</f>
        <v/>
      </c>
      <c r="D321" s="22" t="str">
        <f>IF($L321="","",IF($C321&gt;$M321,"EOF",IFERROR(VALUE(TRIM(MID(SUBSTITUTE(INDEX('Packet Builder'!$P$5:$P$34,$L321),",",REPT(" ",LEN(INDEX('Packet Builder'!$P$5:$P$34,$L321)))),($C321-1)*LEN(INDEX('Packet Builder'!$P$5:$P$34,$L321))+1,LEN(INDEX('Packet Builder'!$P$5:$P$34,$L321))))),"ERR")))</f>
        <v/>
      </c>
      <c r="E321" s="21" t="str">
        <f>IF($L321="","",IF($C321&gt;$M321,"End of Frame Delimiter",IFERROR(INDEX(Fields!$B$5:$B$48,MATCH($D321,Fields!$A$5:$A$48,0)),"MISSING")))</f>
        <v/>
      </c>
      <c r="F321" s="22" t="str">
        <f>IF($L321="","",SUMIF($L$5:L321,L321,$G$5:G321)-G321)</f>
        <v/>
      </c>
      <c r="G321" s="22" t="str">
        <f>IF($L321="","",IF($C321&gt;$M321,Overview!$B$26,IFERROR(INDEX(Fields!$F$5:$F$48,MATCH($D321,Fields!$A$5:$A$48,0)),0)))</f>
        <v/>
      </c>
      <c r="H321" s="22" t="str">
        <f t="shared" si="4"/>
        <v/>
      </c>
      <c r="I321" s="21" t="str">
        <f>IF($L321="","",IF($C321&gt;$M321,IF(Overview!$B$26=1,"uint8","uint8["&amp;Overview!$B$26&amp;"]"),IFERROR(INDEX(Fields!$E$5:$E$48,MATCH($D321,Fields!$A$5:$A$48,0)),"MISSING")))</f>
        <v/>
      </c>
      <c r="J321" s="21" t="str">
        <f>IF($L321="","",IF($C321&gt;$M321,"Fixed end-of-frame delimiter, value "&amp;Overview!$B$25&amp;".",IFERROR(INDEX(Fields!$G$5:$G$48,MATCH($D321,Fields!$A$5:$A$48,0)),"MISSING")))</f>
        <v/>
      </c>
      <c r="K321" s="21" t="str">
        <f>IF($L321="","",IF($C321&gt;$M321,"n/a",IFERROR(INDEX(Fields!$H$5:$H$48,MATCH($D321,Fields!$A$5:$A$48,0)),"MISSING")))</f>
        <v/>
      </c>
      <c r="L321" s="23" t="str">
        <f>IF(ROWS($L$5:L321)&gt;MAX('Packet Builder'!$O$5:$O$34),"",COUNTIF('Packet Builder'!$O$5:$O$34,"&lt;"&amp;ROWS($L$5:L321))+1)</f>
        <v/>
      </c>
      <c r="M321" s="23" t="str">
        <f>IF($L321="","",INDEX('Packet Builder'!$F$5:$F$34,$L321))</f>
        <v/>
      </c>
    </row>
    <row r="322" spans="1:13" x14ac:dyDescent="0.35">
      <c r="A322" s="21" t="str">
        <f>IF($L322="","",INDEX('Packet Builder'!$A$5:$A$34,$L322))</f>
        <v/>
      </c>
      <c r="B322" s="21" t="str">
        <f>IF($L322="","",INDEX('Packet Builder'!$B$5:$B$34,$L322))</f>
        <v/>
      </c>
      <c r="C322" s="22" t="str">
        <f>IF($L322="","",ROWS($L$5:L322)-(INDEX('Packet Builder'!$O$5:$O$34,$L322)-$M322-1))</f>
        <v/>
      </c>
      <c r="D322" s="22" t="str">
        <f>IF($L322="","",IF($C322&gt;$M322,"EOF",IFERROR(VALUE(TRIM(MID(SUBSTITUTE(INDEX('Packet Builder'!$P$5:$P$34,$L322),",",REPT(" ",LEN(INDEX('Packet Builder'!$P$5:$P$34,$L322)))),($C322-1)*LEN(INDEX('Packet Builder'!$P$5:$P$34,$L322))+1,LEN(INDEX('Packet Builder'!$P$5:$P$34,$L322))))),"ERR")))</f>
        <v/>
      </c>
      <c r="E322" s="21" t="str">
        <f>IF($L322="","",IF($C322&gt;$M322,"End of Frame Delimiter",IFERROR(INDEX(Fields!$B$5:$B$48,MATCH($D322,Fields!$A$5:$A$48,0)),"MISSING")))</f>
        <v/>
      </c>
      <c r="F322" s="22" t="str">
        <f>IF($L322="","",SUMIF($L$5:L322,L322,$G$5:G322)-G322)</f>
        <v/>
      </c>
      <c r="G322" s="22" t="str">
        <f>IF($L322="","",IF($C322&gt;$M322,Overview!$B$26,IFERROR(INDEX(Fields!$F$5:$F$48,MATCH($D322,Fields!$A$5:$A$48,0)),0)))</f>
        <v/>
      </c>
      <c r="H322" s="22" t="str">
        <f t="shared" si="4"/>
        <v/>
      </c>
      <c r="I322" s="21" t="str">
        <f>IF($L322="","",IF($C322&gt;$M322,IF(Overview!$B$26=1,"uint8","uint8["&amp;Overview!$B$26&amp;"]"),IFERROR(INDEX(Fields!$E$5:$E$48,MATCH($D322,Fields!$A$5:$A$48,0)),"MISSING")))</f>
        <v/>
      </c>
      <c r="J322" s="21" t="str">
        <f>IF($L322="","",IF($C322&gt;$M322,"Fixed end-of-frame delimiter, value "&amp;Overview!$B$25&amp;".",IFERROR(INDEX(Fields!$G$5:$G$48,MATCH($D322,Fields!$A$5:$A$48,0)),"MISSING")))</f>
        <v/>
      </c>
      <c r="K322" s="21" t="str">
        <f>IF($L322="","",IF($C322&gt;$M322,"n/a",IFERROR(INDEX(Fields!$H$5:$H$48,MATCH($D322,Fields!$A$5:$A$48,0)),"MISSING")))</f>
        <v/>
      </c>
      <c r="L322" s="23" t="str">
        <f>IF(ROWS($L$5:L322)&gt;MAX('Packet Builder'!$O$5:$O$34),"",COUNTIF('Packet Builder'!$O$5:$O$34,"&lt;"&amp;ROWS($L$5:L322))+1)</f>
        <v/>
      </c>
      <c r="M322" s="23" t="str">
        <f>IF($L322="","",INDEX('Packet Builder'!$F$5:$F$34,$L322))</f>
        <v/>
      </c>
    </row>
    <row r="323" spans="1:13" x14ac:dyDescent="0.35">
      <c r="A323" s="21" t="str">
        <f>IF($L323="","",INDEX('Packet Builder'!$A$5:$A$34,$L323))</f>
        <v/>
      </c>
      <c r="B323" s="21" t="str">
        <f>IF($L323="","",INDEX('Packet Builder'!$B$5:$B$34,$L323))</f>
        <v/>
      </c>
      <c r="C323" s="22" t="str">
        <f>IF($L323="","",ROWS($L$5:L323)-(INDEX('Packet Builder'!$O$5:$O$34,$L323)-$M323-1))</f>
        <v/>
      </c>
      <c r="D323" s="22" t="str">
        <f>IF($L323="","",IF($C323&gt;$M323,"EOF",IFERROR(VALUE(TRIM(MID(SUBSTITUTE(INDEX('Packet Builder'!$P$5:$P$34,$L323),",",REPT(" ",LEN(INDEX('Packet Builder'!$P$5:$P$34,$L323)))),($C323-1)*LEN(INDEX('Packet Builder'!$P$5:$P$34,$L323))+1,LEN(INDEX('Packet Builder'!$P$5:$P$34,$L323))))),"ERR")))</f>
        <v/>
      </c>
      <c r="E323" s="21" t="str">
        <f>IF($L323="","",IF($C323&gt;$M323,"End of Frame Delimiter",IFERROR(INDEX(Fields!$B$5:$B$48,MATCH($D323,Fields!$A$5:$A$48,0)),"MISSING")))</f>
        <v/>
      </c>
      <c r="F323" s="22" t="str">
        <f>IF($L323="","",SUMIF($L$5:L323,L323,$G$5:G323)-G323)</f>
        <v/>
      </c>
      <c r="G323" s="22" t="str">
        <f>IF($L323="","",IF($C323&gt;$M323,Overview!$B$26,IFERROR(INDEX(Fields!$F$5:$F$48,MATCH($D323,Fields!$A$5:$A$48,0)),0)))</f>
        <v/>
      </c>
      <c r="H323" s="22" t="str">
        <f t="shared" si="4"/>
        <v/>
      </c>
      <c r="I323" s="21" t="str">
        <f>IF($L323="","",IF($C323&gt;$M323,IF(Overview!$B$26=1,"uint8","uint8["&amp;Overview!$B$26&amp;"]"),IFERROR(INDEX(Fields!$E$5:$E$48,MATCH($D323,Fields!$A$5:$A$48,0)),"MISSING")))</f>
        <v/>
      </c>
      <c r="J323" s="21" t="str">
        <f>IF($L323="","",IF($C323&gt;$M323,"Fixed end-of-frame delimiter, value "&amp;Overview!$B$25&amp;".",IFERROR(INDEX(Fields!$G$5:$G$48,MATCH($D323,Fields!$A$5:$A$48,0)),"MISSING")))</f>
        <v/>
      </c>
      <c r="K323" s="21" t="str">
        <f>IF($L323="","",IF($C323&gt;$M323,"n/a",IFERROR(INDEX(Fields!$H$5:$H$48,MATCH($D323,Fields!$A$5:$A$48,0)),"MISSING")))</f>
        <v/>
      </c>
      <c r="L323" s="23" t="str">
        <f>IF(ROWS($L$5:L323)&gt;MAX('Packet Builder'!$O$5:$O$34),"",COUNTIF('Packet Builder'!$O$5:$O$34,"&lt;"&amp;ROWS($L$5:L323))+1)</f>
        <v/>
      </c>
      <c r="M323" s="23" t="str">
        <f>IF($L323="","",INDEX('Packet Builder'!$F$5:$F$34,$L323))</f>
        <v/>
      </c>
    </row>
    <row r="324" spans="1:13" x14ac:dyDescent="0.35">
      <c r="A324" s="21" t="str">
        <f>IF($L324="","",INDEX('Packet Builder'!$A$5:$A$34,$L324))</f>
        <v/>
      </c>
      <c r="B324" s="21" t="str">
        <f>IF($L324="","",INDEX('Packet Builder'!$B$5:$B$34,$L324))</f>
        <v/>
      </c>
      <c r="C324" s="22" t="str">
        <f>IF($L324="","",ROWS($L$5:L324)-(INDEX('Packet Builder'!$O$5:$O$34,$L324)-$M324-1))</f>
        <v/>
      </c>
      <c r="D324" s="22" t="str">
        <f>IF($L324="","",IF($C324&gt;$M324,"EOF",IFERROR(VALUE(TRIM(MID(SUBSTITUTE(INDEX('Packet Builder'!$P$5:$P$34,$L324),",",REPT(" ",LEN(INDEX('Packet Builder'!$P$5:$P$34,$L324)))),($C324-1)*LEN(INDEX('Packet Builder'!$P$5:$P$34,$L324))+1,LEN(INDEX('Packet Builder'!$P$5:$P$34,$L324))))),"ERR")))</f>
        <v/>
      </c>
      <c r="E324" s="21" t="str">
        <f>IF($L324="","",IF($C324&gt;$M324,"End of Frame Delimiter",IFERROR(INDEX(Fields!$B$5:$B$48,MATCH($D324,Fields!$A$5:$A$48,0)),"MISSING")))</f>
        <v/>
      </c>
      <c r="F324" s="22" t="str">
        <f>IF($L324="","",SUMIF($L$5:L324,L324,$G$5:G324)-G324)</f>
        <v/>
      </c>
      <c r="G324" s="22" t="str">
        <f>IF($L324="","",IF($C324&gt;$M324,Overview!$B$26,IFERROR(INDEX(Fields!$F$5:$F$48,MATCH($D324,Fields!$A$5:$A$48,0)),0)))</f>
        <v/>
      </c>
      <c r="H324" s="22" t="str">
        <f t="shared" si="4"/>
        <v/>
      </c>
      <c r="I324" s="21" t="str">
        <f>IF($L324="","",IF($C324&gt;$M324,IF(Overview!$B$26=1,"uint8","uint8["&amp;Overview!$B$26&amp;"]"),IFERROR(INDEX(Fields!$E$5:$E$48,MATCH($D324,Fields!$A$5:$A$48,0)),"MISSING")))</f>
        <v/>
      </c>
      <c r="J324" s="21" t="str">
        <f>IF($L324="","",IF($C324&gt;$M324,"Fixed end-of-frame delimiter, value "&amp;Overview!$B$25&amp;".",IFERROR(INDEX(Fields!$G$5:$G$48,MATCH($D324,Fields!$A$5:$A$48,0)),"MISSING")))</f>
        <v/>
      </c>
      <c r="K324" s="21" t="str">
        <f>IF($L324="","",IF($C324&gt;$M324,"n/a",IFERROR(INDEX(Fields!$H$5:$H$48,MATCH($D324,Fields!$A$5:$A$48,0)),"MISSING")))</f>
        <v/>
      </c>
      <c r="L324" s="23" t="str">
        <f>IF(ROWS($L$5:L324)&gt;MAX('Packet Builder'!$O$5:$O$34),"",COUNTIF('Packet Builder'!$O$5:$O$34,"&lt;"&amp;ROWS($L$5:L324))+1)</f>
        <v/>
      </c>
      <c r="M324" s="23" t="str">
        <f>IF($L324="","",INDEX('Packet Builder'!$F$5:$F$34,$L324))</f>
        <v/>
      </c>
    </row>
    <row r="325" spans="1:13" x14ac:dyDescent="0.35">
      <c r="A325" s="21" t="str">
        <f>IF($L325="","",INDEX('Packet Builder'!$A$5:$A$34,$L325))</f>
        <v/>
      </c>
      <c r="B325" s="21" t="str">
        <f>IF($L325="","",INDEX('Packet Builder'!$B$5:$B$34,$L325))</f>
        <v/>
      </c>
      <c r="C325" s="22" t="str">
        <f>IF($L325="","",ROWS($L$5:L325)-(INDEX('Packet Builder'!$O$5:$O$34,$L325)-$M325-1))</f>
        <v/>
      </c>
      <c r="D325" s="22" t="str">
        <f>IF($L325="","",IF($C325&gt;$M325,"EOF",IFERROR(VALUE(TRIM(MID(SUBSTITUTE(INDEX('Packet Builder'!$P$5:$P$34,$L325),",",REPT(" ",LEN(INDEX('Packet Builder'!$P$5:$P$34,$L325)))),($C325-1)*LEN(INDEX('Packet Builder'!$P$5:$P$34,$L325))+1,LEN(INDEX('Packet Builder'!$P$5:$P$34,$L325))))),"ERR")))</f>
        <v/>
      </c>
      <c r="E325" s="21" t="str">
        <f>IF($L325="","",IF($C325&gt;$M325,"End of Frame Delimiter",IFERROR(INDEX(Fields!$B$5:$B$48,MATCH($D325,Fields!$A$5:$A$48,0)),"MISSING")))</f>
        <v/>
      </c>
      <c r="F325" s="22" t="str">
        <f>IF($L325="","",SUMIF($L$5:L325,L325,$G$5:G325)-G325)</f>
        <v/>
      </c>
      <c r="G325" s="22" t="str">
        <f>IF($L325="","",IF($C325&gt;$M325,Overview!$B$26,IFERROR(INDEX(Fields!$F$5:$F$48,MATCH($D325,Fields!$A$5:$A$48,0)),0)))</f>
        <v/>
      </c>
      <c r="H325" s="22" t="str">
        <f t="shared" ref="H325:H388" si="5">IF($L325="","",F325+G325-1)</f>
        <v/>
      </c>
      <c r="I325" s="21" t="str">
        <f>IF($L325="","",IF($C325&gt;$M325,IF(Overview!$B$26=1,"uint8","uint8["&amp;Overview!$B$26&amp;"]"),IFERROR(INDEX(Fields!$E$5:$E$48,MATCH($D325,Fields!$A$5:$A$48,0)),"MISSING")))</f>
        <v/>
      </c>
      <c r="J325" s="21" t="str">
        <f>IF($L325="","",IF($C325&gt;$M325,"Fixed end-of-frame delimiter, value "&amp;Overview!$B$25&amp;".",IFERROR(INDEX(Fields!$G$5:$G$48,MATCH($D325,Fields!$A$5:$A$48,0)),"MISSING")))</f>
        <v/>
      </c>
      <c r="K325" s="21" t="str">
        <f>IF($L325="","",IF($C325&gt;$M325,"n/a",IFERROR(INDEX(Fields!$H$5:$H$48,MATCH($D325,Fields!$A$5:$A$48,0)),"MISSING")))</f>
        <v/>
      </c>
      <c r="L325" s="23" t="str">
        <f>IF(ROWS($L$5:L325)&gt;MAX('Packet Builder'!$O$5:$O$34),"",COUNTIF('Packet Builder'!$O$5:$O$34,"&lt;"&amp;ROWS($L$5:L325))+1)</f>
        <v/>
      </c>
      <c r="M325" s="23" t="str">
        <f>IF($L325="","",INDEX('Packet Builder'!$F$5:$F$34,$L325))</f>
        <v/>
      </c>
    </row>
    <row r="326" spans="1:13" x14ac:dyDescent="0.35">
      <c r="A326" s="21" t="str">
        <f>IF($L326="","",INDEX('Packet Builder'!$A$5:$A$34,$L326))</f>
        <v/>
      </c>
      <c r="B326" s="21" t="str">
        <f>IF($L326="","",INDEX('Packet Builder'!$B$5:$B$34,$L326))</f>
        <v/>
      </c>
      <c r="C326" s="22" t="str">
        <f>IF($L326="","",ROWS($L$5:L326)-(INDEX('Packet Builder'!$O$5:$O$34,$L326)-$M326-1))</f>
        <v/>
      </c>
      <c r="D326" s="22" t="str">
        <f>IF($L326="","",IF($C326&gt;$M326,"EOF",IFERROR(VALUE(TRIM(MID(SUBSTITUTE(INDEX('Packet Builder'!$P$5:$P$34,$L326),",",REPT(" ",LEN(INDEX('Packet Builder'!$P$5:$P$34,$L326)))),($C326-1)*LEN(INDEX('Packet Builder'!$P$5:$P$34,$L326))+1,LEN(INDEX('Packet Builder'!$P$5:$P$34,$L326))))),"ERR")))</f>
        <v/>
      </c>
      <c r="E326" s="21" t="str">
        <f>IF($L326="","",IF($C326&gt;$M326,"End of Frame Delimiter",IFERROR(INDEX(Fields!$B$5:$B$48,MATCH($D326,Fields!$A$5:$A$48,0)),"MISSING")))</f>
        <v/>
      </c>
      <c r="F326" s="22" t="str">
        <f>IF($L326="","",SUMIF($L$5:L326,L326,$G$5:G326)-G326)</f>
        <v/>
      </c>
      <c r="G326" s="22" t="str">
        <f>IF($L326="","",IF($C326&gt;$M326,Overview!$B$26,IFERROR(INDEX(Fields!$F$5:$F$48,MATCH($D326,Fields!$A$5:$A$48,0)),0)))</f>
        <v/>
      </c>
      <c r="H326" s="22" t="str">
        <f t="shared" si="5"/>
        <v/>
      </c>
      <c r="I326" s="21" t="str">
        <f>IF($L326="","",IF($C326&gt;$M326,IF(Overview!$B$26=1,"uint8","uint8["&amp;Overview!$B$26&amp;"]"),IFERROR(INDEX(Fields!$E$5:$E$48,MATCH($D326,Fields!$A$5:$A$48,0)),"MISSING")))</f>
        <v/>
      </c>
      <c r="J326" s="21" t="str">
        <f>IF($L326="","",IF($C326&gt;$M326,"Fixed end-of-frame delimiter, value "&amp;Overview!$B$25&amp;".",IFERROR(INDEX(Fields!$G$5:$G$48,MATCH($D326,Fields!$A$5:$A$48,0)),"MISSING")))</f>
        <v/>
      </c>
      <c r="K326" s="21" t="str">
        <f>IF($L326="","",IF($C326&gt;$M326,"n/a",IFERROR(INDEX(Fields!$H$5:$H$48,MATCH($D326,Fields!$A$5:$A$48,0)),"MISSING")))</f>
        <v/>
      </c>
      <c r="L326" s="23" t="str">
        <f>IF(ROWS($L$5:L326)&gt;MAX('Packet Builder'!$O$5:$O$34),"",COUNTIF('Packet Builder'!$O$5:$O$34,"&lt;"&amp;ROWS($L$5:L326))+1)</f>
        <v/>
      </c>
      <c r="M326" s="23" t="str">
        <f>IF($L326="","",INDEX('Packet Builder'!$F$5:$F$34,$L326))</f>
        <v/>
      </c>
    </row>
    <row r="327" spans="1:13" x14ac:dyDescent="0.35">
      <c r="A327" s="21" t="str">
        <f>IF($L327="","",INDEX('Packet Builder'!$A$5:$A$34,$L327))</f>
        <v/>
      </c>
      <c r="B327" s="21" t="str">
        <f>IF($L327="","",INDEX('Packet Builder'!$B$5:$B$34,$L327))</f>
        <v/>
      </c>
      <c r="C327" s="22" t="str">
        <f>IF($L327="","",ROWS($L$5:L327)-(INDEX('Packet Builder'!$O$5:$O$34,$L327)-$M327-1))</f>
        <v/>
      </c>
      <c r="D327" s="22" t="str">
        <f>IF($L327="","",IF($C327&gt;$M327,"EOF",IFERROR(VALUE(TRIM(MID(SUBSTITUTE(INDEX('Packet Builder'!$P$5:$P$34,$L327),",",REPT(" ",LEN(INDEX('Packet Builder'!$P$5:$P$34,$L327)))),($C327-1)*LEN(INDEX('Packet Builder'!$P$5:$P$34,$L327))+1,LEN(INDEX('Packet Builder'!$P$5:$P$34,$L327))))),"ERR")))</f>
        <v/>
      </c>
      <c r="E327" s="21" t="str">
        <f>IF($L327="","",IF($C327&gt;$M327,"End of Frame Delimiter",IFERROR(INDEX(Fields!$B$5:$B$48,MATCH($D327,Fields!$A$5:$A$48,0)),"MISSING")))</f>
        <v/>
      </c>
      <c r="F327" s="22" t="str">
        <f>IF($L327="","",SUMIF($L$5:L327,L327,$G$5:G327)-G327)</f>
        <v/>
      </c>
      <c r="G327" s="22" t="str">
        <f>IF($L327="","",IF($C327&gt;$M327,Overview!$B$26,IFERROR(INDEX(Fields!$F$5:$F$48,MATCH($D327,Fields!$A$5:$A$48,0)),0)))</f>
        <v/>
      </c>
      <c r="H327" s="22" t="str">
        <f t="shared" si="5"/>
        <v/>
      </c>
      <c r="I327" s="21" t="str">
        <f>IF($L327="","",IF($C327&gt;$M327,IF(Overview!$B$26=1,"uint8","uint8["&amp;Overview!$B$26&amp;"]"),IFERROR(INDEX(Fields!$E$5:$E$48,MATCH($D327,Fields!$A$5:$A$48,0)),"MISSING")))</f>
        <v/>
      </c>
      <c r="J327" s="21" t="str">
        <f>IF($L327="","",IF($C327&gt;$M327,"Fixed end-of-frame delimiter, value "&amp;Overview!$B$25&amp;".",IFERROR(INDEX(Fields!$G$5:$G$48,MATCH($D327,Fields!$A$5:$A$48,0)),"MISSING")))</f>
        <v/>
      </c>
      <c r="K327" s="21" t="str">
        <f>IF($L327="","",IF($C327&gt;$M327,"n/a",IFERROR(INDEX(Fields!$H$5:$H$48,MATCH($D327,Fields!$A$5:$A$48,0)),"MISSING")))</f>
        <v/>
      </c>
      <c r="L327" s="23" t="str">
        <f>IF(ROWS($L$5:L327)&gt;MAX('Packet Builder'!$O$5:$O$34),"",COUNTIF('Packet Builder'!$O$5:$O$34,"&lt;"&amp;ROWS($L$5:L327))+1)</f>
        <v/>
      </c>
      <c r="M327" s="23" t="str">
        <f>IF($L327="","",INDEX('Packet Builder'!$F$5:$F$34,$L327))</f>
        <v/>
      </c>
    </row>
    <row r="328" spans="1:13" x14ac:dyDescent="0.35">
      <c r="A328" s="21" t="str">
        <f>IF($L328="","",INDEX('Packet Builder'!$A$5:$A$34,$L328))</f>
        <v/>
      </c>
      <c r="B328" s="21" t="str">
        <f>IF($L328="","",INDEX('Packet Builder'!$B$5:$B$34,$L328))</f>
        <v/>
      </c>
      <c r="C328" s="22" t="str">
        <f>IF($L328="","",ROWS($L$5:L328)-(INDEX('Packet Builder'!$O$5:$O$34,$L328)-$M328-1))</f>
        <v/>
      </c>
      <c r="D328" s="22" t="str">
        <f>IF($L328="","",IF($C328&gt;$M328,"EOF",IFERROR(VALUE(TRIM(MID(SUBSTITUTE(INDEX('Packet Builder'!$P$5:$P$34,$L328),",",REPT(" ",LEN(INDEX('Packet Builder'!$P$5:$P$34,$L328)))),($C328-1)*LEN(INDEX('Packet Builder'!$P$5:$P$34,$L328))+1,LEN(INDEX('Packet Builder'!$P$5:$P$34,$L328))))),"ERR")))</f>
        <v/>
      </c>
      <c r="E328" s="21" t="str">
        <f>IF($L328="","",IF($C328&gt;$M328,"End of Frame Delimiter",IFERROR(INDEX(Fields!$B$5:$B$48,MATCH($D328,Fields!$A$5:$A$48,0)),"MISSING")))</f>
        <v/>
      </c>
      <c r="F328" s="22" t="str">
        <f>IF($L328="","",SUMIF($L$5:L328,L328,$G$5:G328)-G328)</f>
        <v/>
      </c>
      <c r="G328" s="22" t="str">
        <f>IF($L328="","",IF($C328&gt;$M328,Overview!$B$26,IFERROR(INDEX(Fields!$F$5:$F$48,MATCH($D328,Fields!$A$5:$A$48,0)),0)))</f>
        <v/>
      </c>
      <c r="H328" s="22" t="str">
        <f t="shared" si="5"/>
        <v/>
      </c>
      <c r="I328" s="21" t="str">
        <f>IF($L328="","",IF($C328&gt;$M328,IF(Overview!$B$26=1,"uint8","uint8["&amp;Overview!$B$26&amp;"]"),IFERROR(INDEX(Fields!$E$5:$E$48,MATCH($D328,Fields!$A$5:$A$48,0)),"MISSING")))</f>
        <v/>
      </c>
      <c r="J328" s="21" t="str">
        <f>IF($L328="","",IF($C328&gt;$M328,"Fixed end-of-frame delimiter, value "&amp;Overview!$B$25&amp;".",IFERROR(INDEX(Fields!$G$5:$G$48,MATCH($D328,Fields!$A$5:$A$48,0)),"MISSING")))</f>
        <v/>
      </c>
      <c r="K328" s="21" t="str">
        <f>IF($L328="","",IF($C328&gt;$M328,"n/a",IFERROR(INDEX(Fields!$H$5:$H$48,MATCH($D328,Fields!$A$5:$A$48,0)),"MISSING")))</f>
        <v/>
      </c>
      <c r="L328" s="23" t="str">
        <f>IF(ROWS($L$5:L328)&gt;MAX('Packet Builder'!$O$5:$O$34),"",COUNTIF('Packet Builder'!$O$5:$O$34,"&lt;"&amp;ROWS($L$5:L328))+1)</f>
        <v/>
      </c>
      <c r="M328" s="23" t="str">
        <f>IF($L328="","",INDEX('Packet Builder'!$F$5:$F$34,$L328))</f>
        <v/>
      </c>
    </row>
    <row r="329" spans="1:13" x14ac:dyDescent="0.35">
      <c r="A329" s="21" t="str">
        <f>IF($L329="","",INDEX('Packet Builder'!$A$5:$A$34,$L329))</f>
        <v/>
      </c>
      <c r="B329" s="21" t="str">
        <f>IF($L329="","",INDEX('Packet Builder'!$B$5:$B$34,$L329))</f>
        <v/>
      </c>
      <c r="C329" s="22" t="str">
        <f>IF($L329="","",ROWS($L$5:L329)-(INDEX('Packet Builder'!$O$5:$O$34,$L329)-$M329-1))</f>
        <v/>
      </c>
      <c r="D329" s="22" t="str">
        <f>IF($L329="","",IF($C329&gt;$M329,"EOF",IFERROR(VALUE(TRIM(MID(SUBSTITUTE(INDEX('Packet Builder'!$P$5:$P$34,$L329),",",REPT(" ",LEN(INDEX('Packet Builder'!$P$5:$P$34,$L329)))),($C329-1)*LEN(INDEX('Packet Builder'!$P$5:$P$34,$L329))+1,LEN(INDEX('Packet Builder'!$P$5:$P$34,$L329))))),"ERR")))</f>
        <v/>
      </c>
      <c r="E329" s="21" t="str">
        <f>IF($L329="","",IF($C329&gt;$M329,"End of Frame Delimiter",IFERROR(INDEX(Fields!$B$5:$B$48,MATCH($D329,Fields!$A$5:$A$48,0)),"MISSING")))</f>
        <v/>
      </c>
      <c r="F329" s="22" t="str">
        <f>IF($L329="","",SUMIF($L$5:L329,L329,$G$5:G329)-G329)</f>
        <v/>
      </c>
      <c r="G329" s="22" t="str">
        <f>IF($L329="","",IF($C329&gt;$M329,Overview!$B$26,IFERROR(INDEX(Fields!$F$5:$F$48,MATCH($D329,Fields!$A$5:$A$48,0)),0)))</f>
        <v/>
      </c>
      <c r="H329" s="22" t="str">
        <f t="shared" si="5"/>
        <v/>
      </c>
      <c r="I329" s="21" t="str">
        <f>IF($L329="","",IF($C329&gt;$M329,IF(Overview!$B$26=1,"uint8","uint8["&amp;Overview!$B$26&amp;"]"),IFERROR(INDEX(Fields!$E$5:$E$48,MATCH($D329,Fields!$A$5:$A$48,0)),"MISSING")))</f>
        <v/>
      </c>
      <c r="J329" s="21" t="str">
        <f>IF($L329="","",IF($C329&gt;$M329,"Fixed end-of-frame delimiter, value "&amp;Overview!$B$25&amp;".",IFERROR(INDEX(Fields!$G$5:$G$48,MATCH($D329,Fields!$A$5:$A$48,0)),"MISSING")))</f>
        <v/>
      </c>
      <c r="K329" s="21" t="str">
        <f>IF($L329="","",IF($C329&gt;$M329,"n/a",IFERROR(INDEX(Fields!$H$5:$H$48,MATCH($D329,Fields!$A$5:$A$48,0)),"MISSING")))</f>
        <v/>
      </c>
      <c r="L329" s="23" t="str">
        <f>IF(ROWS($L$5:L329)&gt;MAX('Packet Builder'!$O$5:$O$34),"",COUNTIF('Packet Builder'!$O$5:$O$34,"&lt;"&amp;ROWS($L$5:L329))+1)</f>
        <v/>
      </c>
      <c r="M329" s="23" t="str">
        <f>IF($L329="","",INDEX('Packet Builder'!$F$5:$F$34,$L329))</f>
        <v/>
      </c>
    </row>
    <row r="330" spans="1:13" x14ac:dyDescent="0.35">
      <c r="A330" s="21" t="str">
        <f>IF($L330="","",INDEX('Packet Builder'!$A$5:$A$34,$L330))</f>
        <v/>
      </c>
      <c r="B330" s="21" t="str">
        <f>IF($L330="","",INDEX('Packet Builder'!$B$5:$B$34,$L330))</f>
        <v/>
      </c>
      <c r="C330" s="22" t="str">
        <f>IF($L330="","",ROWS($L$5:L330)-(INDEX('Packet Builder'!$O$5:$O$34,$L330)-$M330-1))</f>
        <v/>
      </c>
      <c r="D330" s="22" t="str">
        <f>IF($L330="","",IF($C330&gt;$M330,"EOF",IFERROR(VALUE(TRIM(MID(SUBSTITUTE(INDEX('Packet Builder'!$P$5:$P$34,$L330),",",REPT(" ",LEN(INDEX('Packet Builder'!$P$5:$P$34,$L330)))),($C330-1)*LEN(INDEX('Packet Builder'!$P$5:$P$34,$L330))+1,LEN(INDEX('Packet Builder'!$P$5:$P$34,$L330))))),"ERR")))</f>
        <v/>
      </c>
      <c r="E330" s="21" t="str">
        <f>IF($L330="","",IF($C330&gt;$M330,"End of Frame Delimiter",IFERROR(INDEX(Fields!$B$5:$B$48,MATCH($D330,Fields!$A$5:$A$48,0)),"MISSING")))</f>
        <v/>
      </c>
      <c r="F330" s="22" t="str">
        <f>IF($L330="","",SUMIF($L$5:L330,L330,$G$5:G330)-G330)</f>
        <v/>
      </c>
      <c r="G330" s="22" t="str">
        <f>IF($L330="","",IF($C330&gt;$M330,Overview!$B$26,IFERROR(INDEX(Fields!$F$5:$F$48,MATCH($D330,Fields!$A$5:$A$48,0)),0)))</f>
        <v/>
      </c>
      <c r="H330" s="22" t="str">
        <f t="shared" si="5"/>
        <v/>
      </c>
      <c r="I330" s="21" t="str">
        <f>IF($L330="","",IF($C330&gt;$M330,IF(Overview!$B$26=1,"uint8","uint8["&amp;Overview!$B$26&amp;"]"),IFERROR(INDEX(Fields!$E$5:$E$48,MATCH($D330,Fields!$A$5:$A$48,0)),"MISSING")))</f>
        <v/>
      </c>
      <c r="J330" s="21" t="str">
        <f>IF($L330="","",IF($C330&gt;$M330,"Fixed end-of-frame delimiter, value "&amp;Overview!$B$25&amp;".",IFERROR(INDEX(Fields!$G$5:$G$48,MATCH($D330,Fields!$A$5:$A$48,0)),"MISSING")))</f>
        <v/>
      </c>
      <c r="K330" s="21" t="str">
        <f>IF($L330="","",IF($C330&gt;$M330,"n/a",IFERROR(INDEX(Fields!$H$5:$H$48,MATCH($D330,Fields!$A$5:$A$48,0)),"MISSING")))</f>
        <v/>
      </c>
      <c r="L330" s="23" t="str">
        <f>IF(ROWS($L$5:L330)&gt;MAX('Packet Builder'!$O$5:$O$34),"",COUNTIF('Packet Builder'!$O$5:$O$34,"&lt;"&amp;ROWS($L$5:L330))+1)</f>
        <v/>
      </c>
      <c r="M330" s="23" t="str">
        <f>IF($L330="","",INDEX('Packet Builder'!$F$5:$F$34,$L330))</f>
        <v/>
      </c>
    </row>
    <row r="331" spans="1:13" x14ac:dyDescent="0.35">
      <c r="A331" s="21" t="str">
        <f>IF($L331="","",INDEX('Packet Builder'!$A$5:$A$34,$L331))</f>
        <v/>
      </c>
      <c r="B331" s="21" t="str">
        <f>IF($L331="","",INDEX('Packet Builder'!$B$5:$B$34,$L331))</f>
        <v/>
      </c>
      <c r="C331" s="22" t="str">
        <f>IF($L331="","",ROWS($L$5:L331)-(INDEX('Packet Builder'!$O$5:$O$34,$L331)-$M331-1))</f>
        <v/>
      </c>
      <c r="D331" s="22" t="str">
        <f>IF($L331="","",IF($C331&gt;$M331,"EOF",IFERROR(VALUE(TRIM(MID(SUBSTITUTE(INDEX('Packet Builder'!$P$5:$P$34,$L331),",",REPT(" ",LEN(INDEX('Packet Builder'!$P$5:$P$34,$L331)))),($C331-1)*LEN(INDEX('Packet Builder'!$P$5:$P$34,$L331))+1,LEN(INDEX('Packet Builder'!$P$5:$P$34,$L331))))),"ERR")))</f>
        <v/>
      </c>
      <c r="E331" s="21" t="str">
        <f>IF($L331="","",IF($C331&gt;$M331,"End of Frame Delimiter",IFERROR(INDEX(Fields!$B$5:$B$48,MATCH($D331,Fields!$A$5:$A$48,0)),"MISSING")))</f>
        <v/>
      </c>
      <c r="F331" s="22" t="str">
        <f>IF($L331="","",SUMIF($L$5:L331,L331,$G$5:G331)-G331)</f>
        <v/>
      </c>
      <c r="G331" s="22" t="str">
        <f>IF($L331="","",IF($C331&gt;$M331,Overview!$B$26,IFERROR(INDEX(Fields!$F$5:$F$48,MATCH($D331,Fields!$A$5:$A$48,0)),0)))</f>
        <v/>
      </c>
      <c r="H331" s="22" t="str">
        <f t="shared" si="5"/>
        <v/>
      </c>
      <c r="I331" s="21" t="str">
        <f>IF($L331="","",IF($C331&gt;$M331,IF(Overview!$B$26=1,"uint8","uint8["&amp;Overview!$B$26&amp;"]"),IFERROR(INDEX(Fields!$E$5:$E$48,MATCH($D331,Fields!$A$5:$A$48,0)),"MISSING")))</f>
        <v/>
      </c>
      <c r="J331" s="21" t="str">
        <f>IF($L331="","",IF($C331&gt;$M331,"Fixed end-of-frame delimiter, value "&amp;Overview!$B$25&amp;".",IFERROR(INDEX(Fields!$G$5:$G$48,MATCH($D331,Fields!$A$5:$A$48,0)),"MISSING")))</f>
        <v/>
      </c>
      <c r="K331" s="21" t="str">
        <f>IF($L331="","",IF($C331&gt;$M331,"n/a",IFERROR(INDEX(Fields!$H$5:$H$48,MATCH($D331,Fields!$A$5:$A$48,0)),"MISSING")))</f>
        <v/>
      </c>
      <c r="L331" s="23" t="str">
        <f>IF(ROWS($L$5:L331)&gt;MAX('Packet Builder'!$O$5:$O$34),"",COUNTIF('Packet Builder'!$O$5:$O$34,"&lt;"&amp;ROWS($L$5:L331))+1)</f>
        <v/>
      </c>
      <c r="M331" s="23" t="str">
        <f>IF($L331="","",INDEX('Packet Builder'!$F$5:$F$34,$L331))</f>
        <v/>
      </c>
    </row>
    <row r="332" spans="1:13" x14ac:dyDescent="0.35">
      <c r="A332" s="21" t="str">
        <f>IF($L332="","",INDEX('Packet Builder'!$A$5:$A$34,$L332))</f>
        <v/>
      </c>
      <c r="B332" s="21" t="str">
        <f>IF($L332="","",INDEX('Packet Builder'!$B$5:$B$34,$L332))</f>
        <v/>
      </c>
      <c r="C332" s="22" t="str">
        <f>IF($L332="","",ROWS($L$5:L332)-(INDEX('Packet Builder'!$O$5:$O$34,$L332)-$M332-1))</f>
        <v/>
      </c>
      <c r="D332" s="22" t="str">
        <f>IF($L332="","",IF($C332&gt;$M332,"EOF",IFERROR(VALUE(TRIM(MID(SUBSTITUTE(INDEX('Packet Builder'!$P$5:$P$34,$L332),",",REPT(" ",LEN(INDEX('Packet Builder'!$P$5:$P$34,$L332)))),($C332-1)*LEN(INDEX('Packet Builder'!$P$5:$P$34,$L332))+1,LEN(INDEX('Packet Builder'!$P$5:$P$34,$L332))))),"ERR")))</f>
        <v/>
      </c>
      <c r="E332" s="21" t="str">
        <f>IF($L332="","",IF($C332&gt;$M332,"End of Frame Delimiter",IFERROR(INDEX(Fields!$B$5:$B$48,MATCH($D332,Fields!$A$5:$A$48,0)),"MISSING")))</f>
        <v/>
      </c>
      <c r="F332" s="22" t="str">
        <f>IF($L332="","",SUMIF($L$5:L332,L332,$G$5:G332)-G332)</f>
        <v/>
      </c>
      <c r="G332" s="22" t="str">
        <f>IF($L332="","",IF($C332&gt;$M332,Overview!$B$26,IFERROR(INDEX(Fields!$F$5:$F$48,MATCH($D332,Fields!$A$5:$A$48,0)),0)))</f>
        <v/>
      </c>
      <c r="H332" s="22" t="str">
        <f t="shared" si="5"/>
        <v/>
      </c>
      <c r="I332" s="21" t="str">
        <f>IF($L332="","",IF($C332&gt;$M332,IF(Overview!$B$26=1,"uint8","uint8["&amp;Overview!$B$26&amp;"]"),IFERROR(INDEX(Fields!$E$5:$E$48,MATCH($D332,Fields!$A$5:$A$48,0)),"MISSING")))</f>
        <v/>
      </c>
      <c r="J332" s="21" t="str">
        <f>IF($L332="","",IF($C332&gt;$M332,"Fixed end-of-frame delimiter, value "&amp;Overview!$B$25&amp;".",IFERROR(INDEX(Fields!$G$5:$G$48,MATCH($D332,Fields!$A$5:$A$48,0)),"MISSING")))</f>
        <v/>
      </c>
      <c r="K332" s="21" t="str">
        <f>IF($L332="","",IF($C332&gt;$M332,"n/a",IFERROR(INDEX(Fields!$H$5:$H$48,MATCH($D332,Fields!$A$5:$A$48,0)),"MISSING")))</f>
        <v/>
      </c>
      <c r="L332" s="23" t="str">
        <f>IF(ROWS($L$5:L332)&gt;MAX('Packet Builder'!$O$5:$O$34),"",COUNTIF('Packet Builder'!$O$5:$O$34,"&lt;"&amp;ROWS($L$5:L332))+1)</f>
        <v/>
      </c>
      <c r="M332" s="23" t="str">
        <f>IF($L332="","",INDEX('Packet Builder'!$F$5:$F$34,$L332))</f>
        <v/>
      </c>
    </row>
    <row r="333" spans="1:13" x14ac:dyDescent="0.35">
      <c r="A333" s="21" t="str">
        <f>IF($L333="","",INDEX('Packet Builder'!$A$5:$A$34,$L333))</f>
        <v/>
      </c>
      <c r="B333" s="21" t="str">
        <f>IF($L333="","",INDEX('Packet Builder'!$B$5:$B$34,$L333))</f>
        <v/>
      </c>
      <c r="C333" s="22" t="str">
        <f>IF($L333="","",ROWS($L$5:L333)-(INDEX('Packet Builder'!$O$5:$O$34,$L333)-$M333-1))</f>
        <v/>
      </c>
      <c r="D333" s="22" t="str">
        <f>IF($L333="","",IF($C333&gt;$M333,"EOF",IFERROR(VALUE(TRIM(MID(SUBSTITUTE(INDEX('Packet Builder'!$P$5:$P$34,$L333),",",REPT(" ",LEN(INDEX('Packet Builder'!$P$5:$P$34,$L333)))),($C333-1)*LEN(INDEX('Packet Builder'!$P$5:$P$34,$L333))+1,LEN(INDEX('Packet Builder'!$P$5:$P$34,$L333))))),"ERR")))</f>
        <v/>
      </c>
      <c r="E333" s="21" t="str">
        <f>IF($L333="","",IF($C333&gt;$M333,"End of Frame Delimiter",IFERROR(INDEX(Fields!$B$5:$B$48,MATCH($D333,Fields!$A$5:$A$48,0)),"MISSING")))</f>
        <v/>
      </c>
      <c r="F333" s="22" t="str">
        <f>IF($L333="","",SUMIF($L$5:L333,L333,$G$5:G333)-G333)</f>
        <v/>
      </c>
      <c r="G333" s="22" t="str">
        <f>IF($L333="","",IF($C333&gt;$M333,Overview!$B$26,IFERROR(INDEX(Fields!$F$5:$F$48,MATCH($D333,Fields!$A$5:$A$48,0)),0)))</f>
        <v/>
      </c>
      <c r="H333" s="22" t="str">
        <f t="shared" si="5"/>
        <v/>
      </c>
      <c r="I333" s="21" t="str">
        <f>IF($L333="","",IF($C333&gt;$M333,IF(Overview!$B$26=1,"uint8","uint8["&amp;Overview!$B$26&amp;"]"),IFERROR(INDEX(Fields!$E$5:$E$48,MATCH($D333,Fields!$A$5:$A$48,0)),"MISSING")))</f>
        <v/>
      </c>
      <c r="J333" s="21" t="str">
        <f>IF($L333="","",IF($C333&gt;$M333,"Fixed end-of-frame delimiter, value "&amp;Overview!$B$25&amp;".",IFERROR(INDEX(Fields!$G$5:$G$48,MATCH($D333,Fields!$A$5:$A$48,0)),"MISSING")))</f>
        <v/>
      </c>
      <c r="K333" s="21" t="str">
        <f>IF($L333="","",IF($C333&gt;$M333,"n/a",IFERROR(INDEX(Fields!$H$5:$H$48,MATCH($D333,Fields!$A$5:$A$48,0)),"MISSING")))</f>
        <v/>
      </c>
      <c r="L333" s="23" t="str">
        <f>IF(ROWS($L$5:L333)&gt;MAX('Packet Builder'!$O$5:$O$34),"",COUNTIF('Packet Builder'!$O$5:$O$34,"&lt;"&amp;ROWS($L$5:L333))+1)</f>
        <v/>
      </c>
      <c r="M333" s="23" t="str">
        <f>IF($L333="","",INDEX('Packet Builder'!$F$5:$F$34,$L333))</f>
        <v/>
      </c>
    </row>
    <row r="334" spans="1:13" x14ac:dyDescent="0.35">
      <c r="A334" s="21" t="str">
        <f>IF($L334="","",INDEX('Packet Builder'!$A$5:$A$34,$L334))</f>
        <v/>
      </c>
      <c r="B334" s="21" t="str">
        <f>IF($L334="","",INDEX('Packet Builder'!$B$5:$B$34,$L334))</f>
        <v/>
      </c>
      <c r="C334" s="22" t="str">
        <f>IF($L334="","",ROWS($L$5:L334)-(INDEX('Packet Builder'!$O$5:$O$34,$L334)-$M334-1))</f>
        <v/>
      </c>
      <c r="D334" s="22" t="str">
        <f>IF($L334="","",IF($C334&gt;$M334,"EOF",IFERROR(VALUE(TRIM(MID(SUBSTITUTE(INDEX('Packet Builder'!$P$5:$P$34,$L334),",",REPT(" ",LEN(INDEX('Packet Builder'!$P$5:$P$34,$L334)))),($C334-1)*LEN(INDEX('Packet Builder'!$P$5:$P$34,$L334))+1,LEN(INDEX('Packet Builder'!$P$5:$P$34,$L334))))),"ERR")))</f>
        <v/>
      </c>
      <c r="E334" s="21" t="str">
        <f>IF($L334="","",IF($C334&gt;$M334,"End of Frame Delimiter",IFERROR(INDEX(Fields!$B$5:$B$48,MATCH($D334,Fields!$A$5:$A$48,0)),"MISSING")))</f>
        <v/>
      </c>
      <c r="F334" s="22" t="str">
        <f>IF($L334="","",SUMIF($L$5:L334,L334,$G$5:G334)-G334)</f>
        <v/>
      </c>
      <c r="G334" s="22" t="str">
        <f>IF($L334="","",IF($C334&gt;$M334,Overview!$B$26,IFERROR(INDEX(Fields!$F$5:$F$48,MATCH($D334,Fields!$A$5:$A$48,0)),0)))</f>
        <v/>
      </c>
      <c r="H334" s="22" t="str">
        <f t="shared" si="5"/>
        <v/>
      </c>
      <c r="I334" s="21" t="str">
        <f>IF($L334="","",IF($C334&gt;$M334,IF(Overview!$B$26=1,"uint8","uint8["&amp;Overview!$B$26&amp;"]"),IFERROR(INDEX(Fields!$E$5:$E$48,MATCH($D334,Fields!$A$5:$A$48,0)),"MISSING")))</f>
        <v/>
      </c>
      <c r="J334" s="21" t="str">
        <f>IF($L334="","",IF($C334&gt;$M334,"Fixed end-of-frame delimiter, value "&amp;Overview!$B$25&amp;".",IFERROR(INDEX(Fields!$G$5:$G$48,MATCH($D334,Fields!$A$5:$A$48,0)),"MISSING")))</f>
        <v/>
      </c>
      <c r="K334" s="21" t="str">
        <f>IF($L334="","",IF($C334&gt;$M334,"n/a",IFERROR(INDEX(Fields!$H$5:$H$48,MATCH($D334,Fields!$A$5:$A$48,0)),"MISSING")))</f>
        <v/>
      </c>
      <c r="L334" s="23" t="str">
        <f>IF(ROWS($L$5:L334)&gt;MAX('Packet Builder'!$O$5:$O$34),"",COUNTIF('Packet Builder'!$O$5:$O$34,"&lt;"&amp;ROWS($L$5:L334))+1)</f>
        <v/>
      </c>
      <c r="M334" s="23" t="str">
        <f>IF($L334="","",INDEX('Packet Builder'!$F$5:$F$34,$L334))</f>
        <v/>
      </c>
    </row>
    <row r="335" spans="1:13" x14ac:dyDescent="0.35">
      <c r="A335" s="21" t="str">
        <f>IF($L335="","",INDEX('Packet Builder'!$A$5:$A$34,$L335))</f>
        <v/>
      </c>
      <c r="B335" s="21" t="str">
        <f>IF($L335="","",INDEX('Packet Builder'!$B$5:$B$34,$L335))</f>
        <v/>
      </c>
      <c r="C335" s="22" t="str">
        <f>IF($L335="","",ROWS($L$5:L335)-(INDEX('Packet Builder'!$O$5:$O$34,$L335)-$M335-1))</f>
        <v/>
      </c>
      <c r="D335" s="22" t="str">
        <f>IF($L335="","",IF($C335&gt;$M335,"EOF",IFERROR(VALUE(TRIM(MID(SUBSTITUTE(INDEX('Packet Builder'!$P$5:$P$34,$L335),",",REPT(" ",LEN(INDEX('Packet Builder'!$P$5:$P$34,$L335)))),($C335-1)*LEN(INDEX('Packet Builder'!$P$5:$P$34,$L335))+1,LEN(INDEX('Packet Builder'!$P$5:$P$34,$L335))))),"ERR")))</f>
        <v/>
      </c>
      <c r="E335" s="21" t="str">
        <f>IF($L335="","",IF($C335&gt;$M335,"End of Frame Delimiter",IFERROR(INDEX(Fields!$B$5:$B$48,MATCH($D335,Fields!$A$5:$A$48,0)),"MISSING")))</f>
        <v/>
      </c>
      <c r="F335" s="22" t="str">
        <f>IF($L335="","",SUMIF($L$5:L335,L335,$G$5:G335)-G335)</f>
        <v/>
      </c>
      <c r="G335" s="22" t="str">
        <f>IF($L335="","",IF($C335&gt;$M335,Overview!$B$26,IFERROR(INDEX(Fields!$F$5:$F$48,MATCH($D335,Fields!$A$5:$A$48,0)),0)))</f>
        <v/>
      </c>
      <c r="H335" s="22" t="str">
        <f t="shared" si="5"/>
        <v/>
      </c>
      <c r="I335" s="21" t="str">
        <f>IF($L335="","",IF($C335&gt;$M335,IF(Overview!$B$26=1,"uint8","uint8["&amp;Overview!$B$26&amp;"]"),IFERROR(INDEX(Fields!$E$5:$E$48,MATCH($D335,Fields!$A$5:$A$48,0)),"MISSING")))</f>
        <v/>
      </c>
      <c r="J335" s="21" t="str">
        <f>IF($L335="","",IF($C335&gt;$M335,"Fixed end-of-frame delimiter, value "&amp;Overview!$B$25&amp;".",IFERROR(INDEX(Fields!$G$5:$G$48,MATCH($D335,Fields!$A$5:$A$48,0)),"MISSING")))</f>
        <v/>
      </c>
      <c r="K335" s="21" t="str">
        <f>IF($L335="","",IF($C335&gt;$M335,"n/a",IFERROR(INDEX(Fields!$H$5:$H$48,MATCH($D335,Fields!$A$5:$A$48,0)),"MISSING")))</f>
        <v/>
      </c>
      <c r="L335" s="23" t="str">
        <f>IF(ROWS($L$5:L335)&gt;MAX('Packet Builder'!$O$5:$O$34),"",COUNTIF('Packet Builder'!$O$5:$O$34,"&lt;"&amp;ROWS($L$5:L335))+1)</f>
        <v/>
      </c>
      <c r="M335" s="23" t="str">
        <f>IF($L335="","",INDEX('Packet Builder'!$F$5:$F$34,$L335))</f>
        <v/>
      </c>
    </row>
    <row r="336" spans="1:13" x14ac:dyDescent="0.35">
      <c r="A336" s="21" t="str">
        <f>IF($L336="","",INDEX('Packet Builder'!$A$5:$A$34,$L336))</f>
        <v/>
      </c>
      <c r="B336" s="21" t="str">
        <f>IF($L336="","",INDEX('Packet Builder'!$B$5:$B$34,$L336))</f>
        <v/>
      </c>
      <c r="C336" s="22" t="str">
        <f>IF($L336="","",ROWS($L$5:L336)-(INDEX('Packet Builder'!$O$5:$O$34,$L336)-$M336-1))</f>
        <v/>
      </c>
      <c r="D336" s="22" t="str">
        <f>IF($L336="","",IF($C336&gt;$M336,"EOF",IFERROR(VALUE(TRIM(MID(SUBSTITUTE(INDEX('Packet Builder'!$P$5:$P$34,$L336),",",REPT(" ",LEN(INDEX('Packet Builder'!$P$5:$P$34,$L336)))),($C336-1)*LEN(INDEX('Packet Builder'!$P$5:$P$34,$L336))+1,LEN(INDEX('Packet Builder'!$P$5:$P$34,$L336))))),"ERR")))</f>
        <v/>
      </c>
      <c r="E336" s="21" t="str">
        <f>IF($L336="","",IF($C336&gt;$M336,"End of Frame Delimiter",IFERROR(INDEX(Fields!$B$5:$B$48,MATCH($D336,Fields!$A$5:$A$48,0)),"MISSING")))</f>
        <v/>
      </c>
      <c r="F336" s="22" t="str">
        <f>IF($L336="","",SUMIF($L$5:L336,L336,$G$5:G336)-G336)</f>
        <v/>
      </c>
      <c r="G336" s="22" t="str">
        <f>IF($L336="","",IF($C336&gt;$M336,Overview!$B$26,IFERROR(INDEX(Fields!$F$5:$F$48,MATCH($D336,Fields!$A$5:$A$48,0)),0)))</f>
        <v/>
      </c>
      <c r="H336" s="22" t="str">
        <f t="shared" si="5"/>
        <v/>
      </c>
      <c r="I336" s="21" t="str">
        <f>IF($L336="","",IF($C336&gt;$M336,IF(Overview!$B$26=1,"uint8","uint8["&amp;Overview!$B$26&amp;"]"),IFERROR(INDEX(Fields!$E$5:$E$48,MATCH($D336,Fields!$A$5:$A$48,0)),"MISSING")))</f>
        <v/>
      </c>
      <c r="J336" s="21" t="str">
        <f>IF($L336="","",IF($C336&gt;$M336,"Fixed end-of-frame delimiter, value "&amp;Overview!$B$25&amp;".",IFERROR(INDEX(Fields!$G$5:$G$48,MATCH($D336,Fields!$A$5:$A$48,0)),"MISSING")))</f>
        <v/>
      </c>
      <c r="K336" s="21" t="str">
        <f>IF($L336="","",IF($C336&gt;$M336,"n/a",IFERROR(INDEX(Fields!$H$5:$H$48,MATCH($D336,Fields!$A$5:$A$48,0)),"MISSING")))</f>
        <v/>
      </c>
      <c r="L336" s="23" t="str">
        <f>IF(ROWS($L$5:L336)&gt;MAX('Packet Builder'!$O$5:$O$34),"",COUNTIF('Packet Builder'!$O$5:$O$34,"&lt;"&amp;ROWS($L$5:L336))+1)</f>
        <v/>
      </c>
      <c r="M336" s="23" t="str">
        <f>IF($L336="","",INDEX('Packet Builder'!$F$5:$F$34,$L336))</f>
        <v/>
      </c>
    </row>
    <row r="337" spans="1:13" x14ac:dyDescent="0.35">
      <c r="A337" s="21" t="str">
        <f>IF($L337="","",INDEX('Packet Builder'!$A$5:$A$34,$L337))</f>
        <v/>
      </c>
      <c r="B337" s="21" t="str">
        <f>IF($L337="","",INDEX('Packet Builder'!$B$5:$B$34,$L337))</f>
        <v/>
      </c>
      <c r="C337" s="22" t="str">
        <f>IF($L337="","",ROWS($L$5:L337)-(INDEX('Packet Builder'!$O$5:$O$34,$L337)-$M337-1))</f>
        <v/>
      </c>
      <c r="D337" s="22" t="str">
        <f>IF($L337="","",IF($C337&gt;$M337,"EOF",IFERROR(VALUE(TRIM(MID(SUBSTITUTE(INDEX('Packet Builder'!$P$5:$P$34,$L337),",",REPT(" ",LEN(INDEX('Packet Builder'!$P$5:$P$34,$L337)))),($C337-1)*LEN(INDEX('Packet Builder'!$P$5:$P$34,$L337))+1,LEN(INDEX('Packet Builder'!$P$5:$P$34,$L337))))),"ERR")))</f>
        <v/>
      </c>
      <c r="E337" s="21" t="str">
        <f>IF($L337="","",IF($C337&gt;$M337,"End of Frame Delimiter",IFERROR(INDEX(Fields!$B$5:$B$48,MATCH($D337,Fields!$A$5:$A$48,0)),"MISSING")))</f>
        <v/>
      </c>
      <c r="F337" s="22" t="str">
        <f>IF($L337="","",SUMIF($L$5:L337,L337,$G$5:G337)-G337)</f>
        <v/>
      </c>
      <c r="G337" s="22" t="str">
        <f>IF($L337="","",IF($C337&gt;$M337,Overview!$B$26,IFERROR(INDEX(Fields!$F$5:$F$48,MATCH($D337,Fields!$A$5:$A$48,0)),0)))</f>
        <v/>
      </c>
      <c r="H337" s="22" t="str">
        <f t="shared" si="5"/>
        <v/>
      </c>
      <c r="I337" s="21" t="str">
        <f>IF($L337="","",IF($C337&gt;$M337,IF(Overview!$B$26=1,"uint8","uint8["&amp;Overview!$B$26&amp;"]"),IFERROR(INDEX(Fields!$E$5:$E$48,MATCH($D337,Fields!$A$5:$A$48,0)),"MISSING")))</f>
        <v/>
      </c>
      <c r="J337" s="21" t="str">
        <f>IF($L337="","",IF($C337&gt;$M337,"Fixed end-of-frame delimiter, value "&amp;Overview!$B$25&amp;".",IFERROR(INDEX(Fields!$G$5:$G$48,MATCH($D337,Fields!$A$5:$A$48,0)),"MISSING")))</f>
        <v/>
      </c>
      <c r="K337" s="21" t="str">
        <f>IF($L337="","",IF($C337&gt;$M337,"n/a",IFERROR(INDEX(Fields!$H$5:$H$48,MATCH($D337,Fields!$A$5:$A$48,0)),"MISSING")))</f>
        <v/>
      </c>
      <c r="L337" s="23" t="str">
        <f>IF(ROWS($L$5:L337)&gt;MAX('Packet Builder'!$O$5:$O$34),"",COUNTIF('Packet Builder'!$O$5:$O$34,"&lt;"&amp;ROWS($L$5:L337))+1)</f>
        <v/>
      </c>
      <c r="M337" s="23" t="str">
        <f>IF($L337="","",INDEX('Packet Builder'!$F$5:$F$34,$L337))</f>
        <v/>
      </c>
    </row>
    <row r="338" spans="1:13" x14ac:dyDescent="0.35">
      <c r="A338" s="21" t="str">
        <f>IF($L338="","",INDEX('Packet Builder'!$A$5:$A$34,$L338))</f>
        <v/>
      </c>
      <c r="B338" s="21" t="str">
        <f>IF($L338="","",INDEX('Packet Builder'!$B$5:$B$34,$L338))</f>
        <v/>
      </c>
      <c r="C338" s="22" t="str">
        <f>IF($L338="","",ROWS($L$5:L338)-(INDEX('Packet Builder'!$O$5:$O$34,$L338)-$M338-1))</f>
        <v/>
      </c>
      <c r="D338" s="22" t="str">
        <f>IF($L338="","",IF($C338&gt;$M338,"EOF",IFERROR(VALUE(TRIM(MID(SUBSTITUTE(INDEX('Packet Builder'!$P$5:$P$34,$L338),",",REPT(" ",LEN(INDEX('Packet Builder'!$P$5:$P$34,$L338)))),($C338-1)*LEN(INDEX('Packet Builder'!$P$5:$P$34,$L338))+1,LEN(INDEX('Packet Builder'!$P$5:$P$34,$L338))))),"ERR")))</f>
        <v/>
      </c>
      <c r="E338" s="21" t="str">
        <f>IF($L338="","",IF($C338&gt;$M338,"End of Frame Delimiter",IFERROR(INDEX(Fields!$B$5:$B$48,MATCH($D338,Fields!$A$5:$A$48,0)),"MISSING")))</f>
        <v/>
      </c>
      <c r="F338" s="22" t="str">
        <f>IF($L338="","",SUMIF($L$5:L338,L338,$G$5:G338)-G338)</f>
        <v/>
      </c>
      <c r="G338" s="22" t="str">
        <f>IF($L338="","",IF($C338&gt;$M338,Overview!$B$26,IFERROR(INDEX(Fields!$F$5:$F$48,MATCH($D338,Fields!$A$5:$A$48,0)),0)))</f>
        <v/>
      </c>
      <c r="H338" s="22" t="str">
        <f t="shared" si="5"/>
        <v/>
      </c>
      <c r="I338" s="21" t="str">
        <f>IF($L338="","",IF($C338&gt;$M338,IF(Overview!$B$26=1,"uint8","uint8["&amp;Overview!$B$26&amp;"]"),IFERROR(INDEX(Fields!$E$5:$E$48,MATCH($D338,Fields!$A$5:$A$48,0)),"MISSING")))</f>
        <v/>
      </c>
      <c r="J338" s="21" t="str">
        <f>IF($L338="","",IF($C338&gt;$M338,"Fixed end-of-frame delimiter, value "&amp;Overview!$B$25&amp;".",IFERROR(INDEX(Fields!$G$5:$G$48,MATCH($D338,Fields!$A$5:$A$48,0)),"MISSING")))</f>
        <v/>
      </c>
      <c r="K338" s="21" t="str">
        <f>IF($L338="","",IF($C338&gt;$M338,"n/a",IFERROR(INDEX(Fields!$H$5:$H$48,MATCH($D338,Fields!$A$5:$A$48,0)),"MISSING")))</f>
        <v/>
      </c>
      <c r="L338" s="23" t="str">
        <f>IF(ROWS($L$5:L338)&gt;MAX('Packet Builder'!$O$5:$O$34),"",COUNTIF('Packet Builder'!$O$5:$O$34,"&lt;"&amp;ROWS($L$5:L338))+1)</f>
        <v/>
      </c>
      <c r="M338" s="23" t="str">
        <f>IF($L338="","",INDEX('Packet Builder'!$F$5:$F$34,$L338))</f>
        <v/>
      </c>
    </row>
    <row r="339" spans="1:13" x14ac:dyDescent="0.35">
      <c r="A339" s="21" t="str">
        <f>IF($L339="","",INDEX('Packet Builder'!$A$5:$A$34,$L339))</f>
        <v/>
      </c>
      <c r="B339" s="21" t="str">
        <f>IF($L339="","",INDEX('Packet Builder'!$B$5:$B$34,$L339))</f>
        <v/>
      </c>
      <c r="C339" s="22" t="str">
        <f>IF($L339="","",ROWS($L$5:L339)-(INDEX('Packet Builder'!$O$5:$O$34,$L339)-$M339-1))</f>
        <v/>
      </c>
      <c r="D339" s="22" t="str">
        <f>IF($L339="","",IF($C339&gt;$M339,"EOF",IFERROR(VALUE(TRIM(MID(SUBSTITUTE(INDEX('Packet Builder'!$P$5:$P$34,$L339),",",REPT(" ",LEN(INDEX('Packet Builder'!$P$5:$P$34,$L339)))),($C339-1)*LEN(INDEX('Packet Builder'!$P$5:$P$34,$L339))+1,LEN(INDEX('Packet Builder'!$P$5:$P$34,$L339))))),"ERR")))</f>
        <v/>
      </c>
      <c r="E339" s="21" t="str">
        <f>IF($L339="","",IF($C339&gt;$M339,"End of Frame Delimiter",IFERROR(INDEX(Fields!$B$5:$B$48,MATCH($D339,Fields!$A$5:$A$48,0)),"MISSING")))</f>
        <v/>
      </c>
      <c r="F339" s="22" t="str">
        <f>IF($L339="","",SUMIF($L$5:L339,L339,$G$5:G339)-G339)</f>
        <v/>
      </c>
      <c r="G339" s="22" t="str">
        <f>IF($L339="","",IF($C339&gt;$M339,Overview!$B$26,IFERROR(INDEX(Fields!$F$5:$F$48,MATCH($D339,Fields!$A$5:$A$48,0)),0)))</f>
        <v/>
      </c>
      <c r="H339" s="22" t="str">
        <f t="shared" si="5"/>
        <v/>
      </c>
      <c r="I339" s="21" t="str">
        <f>IF($L339="","",IF($C339&gt;$M339,IF(Overview!$B$26=1,"uint8","uint8["&amp;Overview!$B$26&amp;"]"),IFERROR(INDEX(Fields!$E$5:$E$48,MATCH($D339,Fields!$A$5:$A$48,0)),"MISSING")))</f>
        <v/>
      </c>
      <c r="J339" s="21" t="str">
        <f>IF($L339="","",IF($C339&gt;$M339,"Fixed end-of-frame delimiter, value "&amp;Overview!$B$25&amp;".",IFERROR(INDEX(Fields!$G$5:$G$48,MATCH($D339,Fields!$A$5:$A$48,0)),"MISSING")))</f>
        <v/>
      </c>
      <c r="K339" s="21" t="str">
        <f>IF($L339="","",IF($C339&gt;$M339,"n/a",IFERROR(INDEX(Fields!$H$5:$H$48,MATCH($D339,Fields!$A$5:$A$48,0)),"MISSING")))</f>
        <v/>
      </c>
      <c r="L339" s="23" t="str">
        <f>IF(ROWS($L$5:L339)&gt;MAX('Packet Builder'!$O$5:$O$34),"",COUNTIF('Packet Builder'!$O$5:$O$34,"&lt;"&amp;ROWS($L$5:L339))+1)</f>
        <v/>
      </c>
      <c r="M339" s="23" t="str">
        <f>IF($L339="","",INDEX('Packet Builder'!$F$5:$F$34,$L339))</f>
        <v/>
      </c>
    </row>
    <row r="340" spans="1:13" x14ac:dyDescent="0.35">
      <c r="A340" s="21" t="str">
        <f>IF($L340="","",INDEX('Packet Builder'!$A$5:$A$34,$L340))</f>
        <v/>
      </c>
      <c r="B340" s="21" t="str">
        <f>IF($L340="","",INDEX('Packet Builder'!$B$5:$B$34,$L340))</f>
        <v/>
      </c>
      <c r="C340" s="22" t="str">
        <f>IF($L340="","",ROWS($L$5:L340)-(INDEX('Packet Builder'!$O$5:$O$34,$L340)-$M340-1))</f>
        <v/>
      </c>
      <c r="D340" s="22" t="str">
        <f>IF($L340="","",IF($C340&gt;$M340,"EOF",IFERROR(VALUE(TRIM(MID(SUBSTITUTE(INDEX('Packet Builder'!$P$5:$P$34,$L340),",",REPT(" ",LEN(INDEX('Packet Builder'!$P$5:$P$34,$L340)))),($C340-1)*LEN(INDEX('Packet Builder'!$P$5:$P$34,$L340))+1,LEN(INDEX('Packet Builder'!$P$5:$P$34,$L340))))),"ERR")))</f>
        <v/>
      </c>
      <c r="E340" s="21" t="str">
        <f>IF($L340="","",IF($C340&gt;$M340,"End of Frame Delimiter",IFERROR(INDEX(Fields!$B$5:$B$48,MATCH($D340,Fields!$A$5:$A$48,0)),"MISSING")))</f>
        <v/>
      </c>
      <c r="F340" s="22" t="str">
        <f>IF($L340="","",SUMIF($L$5:L340,L340,$G$5:G340)-G340)</f>
        <v/>
      </c>
      <c r="G340" s="22" t="str">
        <f>IF($L340="","",IF($C340&gt;$M340,Overview!$B$26,IFERROR(INDEX(Fields!$F$5:$F$48,MATCH($D340,Fields!$A$5:$A$48,0)),0)))</f>
        <v/>
      </c>
      <c r="H340" s="22" t="str">
        <f t="shared" si="5"/>
        <v/>
      </c>
      <c r="I340" s="21" t="str">
        <f>IF($L340="","",IF($C340&gt;$M340,IF(Overview!$B$26=1,"uint8","uint8["&amp;Overview!$B$26&amp;"]"),IFERROR(INDEX(Fields!$E$5:$E$48,MATCH($D340,Fields!$A$5:$A$48,0)),"MISSING")))</f>
        <v/>
      </c>
      <c r="J340" s="21" t="str">
        <f>IF($L340="","",IF($C340&gt;$M340,"Fixed end-of-frame delimiter, value "&amp;Overview!$B$25&amp;".",IFERROR(INDEX(Fields!$G$5:$G$48,MATCH($D340,Fields!$A$5:$A$48,0)),"MISSING")))</f>
        <v/>
      </c>
      <c r="K340" s="21" t="str">
        <f>IF($L340="","",IF($C340&gt;$M340,"n/a",IFERROR(INDEX(Fields!$H$5:$H$48,MATCH($D340,Fields!$A$5:$A$48,0)),"MISSING")))</f>
        <v/>
      </c>
      <c r="L340" s="23" t="str">
        <f>IF(ROWS($L$5:L340)&gt;MAX('Packet Builder'!$O$5:$O$34),"",COUNTIF('Packet Builder'!$O$5:$O$34,"&lt;"&amp;ROWS($L$5:L340))+1)</f>
        <v/>
      </c>
      <c r="M340" s="23" t="str">
        <f>IF($L340="","",INDEX('Packet Builder'!$F$5:$F$34,$L340))</f>
        <v/>
      </c>
    </row>
    <row r="341" spans="1:13" x14ac:dyDescent="0.35">
      <c r="A341" s="21" t="str">
        <f>IF($L341="","",INDEX('Packet Builder'!$A$5:$A$34,$L341))</f>
        <v/>
      </c>
      <c r="B341" s="21" t="str">
        <f>IF($L341="","",INDEX('Packet Builder'!$B$5:$B$34,$L341))</f>
        <v/>
      </c>
      <c r="C341" s="22" t="str">
        <f>IF($L341="","",ROWS($L$5:L341)-(INDEX('Packet Builder'!$O$5:$O$34,$L341)-$M341-1))</f>
        <v/>
      </c>
      <c r="D341" s="22" t="str">
        <f>IF($L341="","",IF($C341&gt;$M341,"EOF",IFERROR(VALUE(TRIM(MID(SUBSTITUTE(INDEX('Packet Builder'!$P$5:$P$34,$L341),",",REPT(" ",LEN(INDEX('Packet Builder'!$P$5:$P$34,$L341)))),($C341-1)*LEN(INDEX('Packet Builder'!$P$5:$P$34,$L341))+1,LEN(INDEX('Packet Builder'!$P$5:$P$34,$L341))))),"ERR")))</f>
        <v/>
      </c>
      <c r="E341" s="21" t="str">
        <f>IF($L341="","",IF($C341&gt;$M341,"End of Frame Delimiter",IFERROR(INDEX(Fields!$B$5:$B$48,MATCH($D341,Fields!$A$5:$A$48,0)),"MISSING")))</f>
        <v/>
      </c>
      <c r="F341" s="22" t="str">
        <f>IF($L341="","",SUMIF($L$5:L341,L341,$G$5:G341)-G341)</f>
        <v/>
      </c>
      <c r="G341" s="22" t="str">
        <f>IF($L341="","",IF($C341&gt;$M341,Overview!$B$26,IFERROR(INDEX(Fields!$F$5:$F$48,MATCH($D341,Fields!$A$5:$A$48,0)),0)))</f>
        <v/>
      </c>
      <c r="H341" s="22" t="str">
        <f t="shared" si="5"/>
        <v/>
      </c>
      <c r="I341" s="21" t="str">
        <f>IF($L341="","",IF($C341&gt;$M341,IF(Overview!$B$26=1,"uint8","uint8["&amp;Overview!$B$26&amp;"]"),IFERROR(INDEX(Fields!$E$5:$E$48,MATCH($D341,Fields!$A$5:$A$48,0)),"MISSING")))</f>
        <v/>
      </c>
      <c r="J341" s="21" t="str">
        <f>IF($L341="","",IF($C341&gt;$M341,"Fixed end-of-frame delimiter, value "&amp;Overview!$B$25&amp;".",IFERROR(INDEX(Fields!$G$5:$G$48,MATCH($D341,Fields!$A$5:$A$48,0)),"MISSING")))</f>
        <v/>
      </c>
      <c r="K341" s="21" t="str">
        <f>IF($L341="","",IF($C341&gt;$M341,"n/a",IFERROR(INDEX(Fields!$H$5:$H$48,MATCH($D341,Fields!$A$5:$A$48,0)),"MISSING")))</f>
        <v/>
      </c>
      <c r="L341" s="23" t="str">
        <f>IF(ROWS($L$5:L341)&gt;MAX('Packet Builder'!$O$5:$O$34),"",COUNTIF('Packet Builder'!$O$5:$O$34,"&lt;"&amp;ROWS($L$5:L341))+1)</f>
        <v/>
      </c>
      <c r="M341" s="23" t="str">
        <f>IF($L341="","",INDEX('Packet Builder'!$F$5:$F$34,$L341))</f>
        <v/>
      </c>
    </row>
    <row r="342" spans="1:13" x14ac:dyDescent="0.35">
      <c r="A342" s="21" t="str">
        <f>IF($L342="","",INDEX('Packet Builder'!$A$5:$A$34,$L342))</f>
        <v/>
      </c>
      <c r="B342" s="21" t="str">
        <f>IF($L342="","",INDEX('Packet Builder'!$B$5:$B$34,$L342))</f>
        <v/>
      </c>
      <c r="C342" s="22" t="str">
        <f>IF($L342="","",ROWS($L$5:L342)-(INDEX('Packet Builder'!$O$5:$O$34,$L342)-$M342-1))</f>
        <v/>
      </c>
      <c r="D342" s="22" t="str">
        <f>IF($L342="","",IF($C342&gt;$M342,"EOF",IFERROR(VALUE(TRIM(MID(SUBSTITUTE(INDEX('Packet Builder'!$P$5:$P$34,$L342),",",REPT(" ",LEN(INDEX('Packet Builder'!$P$5:$P$34,$L342)))),($C342-1)*LEN(INDEX('Packet Builder'!$P$5:$P$34,$L342))+1,LEN(INDEX('Packet Builder'!$P$5:$P$34,$L342))))),"ERR")))</f>
        <v/>
      </c>
      <c r="E342" s="21" t="str">
        <f>IF($L342="","",IF($C342&gt;$M342,"End of Frame Delimiter",IFERROR(INDEX(Fields!$B$5:$B$48,MATCH($D342,Fields!$A$5:$A$48,0)),"MISSING")))</f>
        <v/>
      </c>
      <c r="F342" s="22" t="str">
        <f>IF($L342="","",SUMIF($L$5:L342,L342,$G$5:G342)-G342)</f>
        <v/>
      </c>
      <c r="G342" s="22" t="str">
        <f>IF($L342="","",IF($C342&gt;$M342,Overview!$B$26,IFERROR(INDEX(Fields!$F$5:$F$48,MATCH($D342,Fields!$A$5:$A$48,0)),0)))</f>
        <v/>
      </c>
      <c r="H342" s="22" t="str">
        <f t="shared" si="5"/>
        <v/>
      </c>
      <c r="I342" s="21" t="str">
        <f>IF($L342="","",IF($C342&gt;$M342,IF(Overview!$B$26=1,"uint8","uint8["&amp;Overview!$B$26&amp;"]"),IFERROR(INDEX(Fields!$E$5:$E$48,MATCH($D342,Fields!$A$5:$A$48,0)),"MISSING")))</f>
        <v/>
      </c>
      <c r="J342" s="21" t="str">
        <f>IF($L342="","",IF($C342&gt;$M342,"Fixed end-of-frame delimiter, value "&amp;Overview!$B$25&amp;".",IFERROR(INDEX(Fields!$G$5:$G$48,MATCH($D342,Fields!$A$5:$A$48,0)),"MISSING")))</f>
        <v/>
      </c>
      <c r="K342" s="21" t="str">
        <f>IF($L342="","",IF($C342&gt;$M342,"n/a",IFERROR(INDEX(Fields!$H$5:$H$48,MATCH($D342,Fields!$A$5:$A$48,0)),"MISSING")))</f>
        <v/>
      </c>
      <c r="L342" s="23" t="str">
        <f>IF(ROWS($L$5:L342)&gt;MAX('Packet Builder'!$O$5:$O$34),"",COUNTIF('Packet Builder'!$O$5:$O$34,"&lt;"&amp;ROWS($L$5:L342))+1)</f>
        <v/>
      </c>
      <c r="M342" s="23" t="str">
        <f>IF($L342="","",INDEX('Packet Builder'!$F$5:$F$34,$L342))</f>
        <v/>
      </c>
    </row>
    <row r="343" spans="1:13" x14ac:dyDescent="0.35">
      <c r="A343" s="21" t="str">
        <f>IF($L343="","",INDEX('Packet Builder'!$A$5:$A$34,$L343))</f>
        <v/>
      </c>
      <c r="B343" s="21" t="str">
        <f>IF($L343="","",INDEX('Packet Builder'!$B$5:$B$34,$L343))</f>
        <v/>
      </c>
      <c r="C343" s="22" t="str">
        <f>IF($L343="","",ROWS($L$5:L343)-(INDEX('Packet Builder'!$O$5:$O$34,$L343)-$M343-1))</f>
        <v/>
      </c>
      <c r="D343" s="22" t="str">
        <f>IF($L343="","",IF($C343&gt;$M343,"EOF",IFERROR(VALUE(TRIM(MID(SUBSTITUTE(INDEX('Packet Builder'!$P$5:$P$34,$L343),",",REPT(" ",LEN(INDEX('Packet Builder'!$P$5:$P$34,$L343)))),($C343-1)*LEN(INDEX('Packet Builder'!$P$5:$P$34,$L343))+1,LEN(INDEX('Packet Builder'!$P$5:$P$34,$L343))))),"ERR")))</f>
        <v/>
      </c>
      <c r="E343" s="21" t="str">
        <f>IF($L343="","",IF($C343&gt;$M343,"End of Frame Delimiter",IFERROR(INDEX(Fields!$B$5:$B$48,MATCH($D343,Fields!$A$5:$A$48,0)),"MISSING")))</f>
        <v/>
      </c>
      <c r="F343" s="22" t="str">
        <f>IF($L343="","",SUMIF($L$5:L343,L343,$G$5:G343)-G343)</f>
        <v/>
      </c>
      <c r="G343" s="22" t="str">
        <f>IF($L343="","",IF($C343&gt;$M343,Overview!$B$26,IFERROR(INDEX(Fields!$F$5:$F$48,MATCH($D343,Fields!$A$5:$A$48,0)),0)))</f>
        <v/>
      </c>
      <c r="H343" s="22" t="str">
        <f t="shared" si="5"/>
        <v/>
      </c>
      <c r="I343" s="21" t="str">
        <f>IF($L343="","",IF($C343&gt;$M343,IF(Overview!$B$26=1,"uint8","uint8["&amp;Overview!$B$26&amp;"]"),IFERROR(INDEX(Fields!$E$5:$E$48,MATCH($D343,Fields!$A$5:$A$48,0)),"MISSING")))</f>
        <v/>
      </c>
      <c r="J343" s="21" t="str">
        <f>IF($L343="","",IF($C343&gt;$M343,"Fixed end-of-frame delimiter, value "&amp;Overview!$B$25&amp;".",IFERROR(INDEX(Fields!$G$5:$G$48,MATCH($D343,Fields!$A$5:$A$48,0)),"MISSING")))</f>
        <v/>
      </c>
      <c r="K343" s="21" t="str">
        <f>IF($L343="","",IF($C343&gt;$M343,"n/a",IFERROR(INDEX(Fields!$H$5:$H$48,MATCH($D343,Fields!$A$5:$A$48,0)),"MISSING")))</f>
        <v/>
      </c>
      <c r="L343" s="23" t="str">
        <f>IF(ROWS($L$5:L343)&gt;MAX('Packet Builder'!$O$5:$O$34),"",COUNTIF('Packet Builder'!$O$5:$O$34,"&lt;"&amp;ROWS($L$5:L343))+1)</f>
        <v/>
      </c>
      <c r="M343" s="23" t="str">
        <f>IF($L343="","",INDEX('Packet Builder'!$F$5:$F$34,$L343))</f>
        <v/>
      </c>
    </row>
    <row r="344" spans="1:13" x14ac:dyDescent="0.35">
      <c r="A344" s="21" t="str">
        <f>IF($L344="","",INDEX('Packet Builder'!$A$5:$A$34,$L344))</f>
        <v/>
      </c>
      <c r="B344" s="21" t="str">
        <f>IF($L344="","",INDEX('Packet Builder'!$B$5:$B$34,$L344))</f>
        <v/>
      </c>
      <c r="C344" s="22" t="str">
        <f>IF($L344="","",ROWS($L$5:L344)-(INDEX('Packet Builder'!$O$5:$O$34,$L344)-$M344-1))</f>
        <v/>
      </c>
      <c r="D344" s="22" t="str">
        <f>IF($L344="","",IF($C344&gt;$M344,"EOF",IFERROR(VALUE(TRIM(MID(SUBSTITUTE(INDEX('Packet Builder'!$P$5:$P$34,$L344),",",REPT(" ",LEN(INDEX('Packet Builder'!$P$5:$P$34,$L344)))),($C344-1)*LEN(INDEX('Packet Builder'!$P$5:$P$34,$L344))+1,LEN(INDEX('Packet Builder'!$P$5:$P$34,$L344))))),"ERR")))</f>
        <v/>
      </c>
      <c r="E344" s="21" t="str">
        <f>IF($L344="","",IF($C344&gt;$M344,"End of Frame Delimiter",IFERROR(INDEX(Fields!$B$5:$B$48,MATCH($D344,Fields!$A$5:$A$48,0)),"MISSING")))</f>
        <v/>
      </c>
      <c r="F344" s="22" t="str">
        <f>IF($L344="","",SUMIF($L$5:L344,L344,$G$5:G344)-G344)</f>
        <v/>
      </c>
      <c r="G344" s="22" t="str">
        <f>IF($L344="","",IF($C344&gt;$M344,Overview!$B$26,IFERROR(INDEX(Fields!$F$5:$F$48,MATCH($D344,Fields!$A$5:$A$48,0)),0)))</f>
        <v/>
      </c>
      <c r="H344" s="22" t="str">
        <f t="shared" si="5"/>
        <v/>
      </c>
      <c r="I344" s="21" t="str">
        <f>IF($L344="","",IF($C344&gt;$M344,IF(Overview!$B$26=1,"uint8","uint8["&amp;Overview!$B$26&amp;"]"),IFERROR(INDEX(Fields!$E$5:$E$48,MATCH($D344,Fields!$A$5:$A$48,0)),"MISSING")))</f>
        <v/>
      </c>
      <c r="J344" s="21" t="str">
        <f>IF($L344="","",IF($C344&gt;$M344,"Fixed end-of-frame delimiter, value "&amp;Overview!$B$25&amp;".",IFERROR(INDEX(Fields!$G$5:$G$48,MATCH($D344,Fields!$A$5:$A$48,0)),"MISSING")))</f>
        <v/>
      </c>
      <c r="K344" s="21" t="str">
        <f>IF($L344="","",IF($C344&gt;$M344,"n/a",IFERROR(INDEX(Fields!$H$5:$H$48,MATCH($D344,Fields!$A$5:$A$48,0)),"MISSING")))</f>
        <v/>
      </c>
      <c r="L344" s="23" t="str">
        <f>IF(ROWS($L$5:L344)&gt;MAX('Packet Builder'!$O$5:$O$34),"",COUNTIF('Packet Builder'!$O$5:$O$34,"&lt;"&amp;ROWS($L$5:L344))+1)</f>
        <v/>
      </c>
      <c r="M344" s="23" t="str">
        <f>IF($L344="","",INDEX('Packet Builder'!$F$5:$F$34,$L344))</f>
        <v/>
      </c>
    </row>
    <row r="345" spans="1:13" x14ac:dyDescent="0.35">
      <c r="A345" s="21" t="str">
        <f>IF($L345="","",INDEX('Packet Builder'!$A$5:$A$34,$L345))</f>
        <v/>
      </c>
      <c r="B345" s="21" t="str">
        <f>IF($L345="","",INDEX('Packet Builder'!$B$5:$B$34,$L345))</f>
        <v/>
      </c>
      <c r="C345" s="22" t="str">
        <f>IF($L345="","",ROWS($L$5:L345)-(INDEX('Packet Builder'!$O$5:$O$34,$L345)-$M345-1))</f>
        <v/>
      </c>
      <c r="D345" s="22" t="str">
        <f>IF($L345="","",IF($C345&gt;$M345,"EOF",IFERROR(VALUE(TRIM(MID(SUBSTITUTE(INDEX('Packet Builder'!$P$5:$P$34,$L345),",",REPT(" ",LEN(INDEX('Packet Builder'!$P$5:$P$34,$L345)))),($C345-1)*LEN(INDEX('Packet Builder'!$P$5:$P$34,$L345))+1,LEN(INDEX('Packet Builder'!$P$5:$P$34,$L345))))),"ERR")))</f>
        <v/>
      </c>
      <c r="E345" s="21" t="str">
        <f>IF($L345="","",IF($C345&gt;$M345,"End of Frame Delimiter",IFERROR(INDEX(Fields!$B$5:$B$48,MATCH($D345,Fields!$A$5:$A$48,0)),"MISSING")))</f>
        <v/>
      </c>
      <c r="F345" s="22" t="str">
        <f>IF($L345="","",SUMIF($L$5:L345,L345,$G$5:G345)-G345)</f>
        <v/>
      </c>
      <c r="G345" s="22" t="str">
        <f>IF($L345="","",IF($C345&gt;$M345,Overview!$B$26,IFERROR(INDEX(Fields!$F$5:$F$48,MATCH($D345,Fields!$A$5:$A$48,0)),0)))</f>
        <v/>
      </c>
      <c r="H345" s="22" t="str">
        <f t="shared" si="5"/>
        <v/>
      </c>
      <c r="I345" s="21" t="str">
        <f>IF($L345="","",IF($C345&gt;$M345,IF(Overview!$B$26=1,"uint8","uint8["&amp;Overview!$B$26&amp;"]"),IFERROR(INDEX(Fields!$E$5:$E$48,MATCH($D345,Fields!$A$5:$A$48,0)),"MISSING")))</f>
        <v/>
      </c>
      <c r="J345" s="21" t="str">
        <f>IF($L345="","",IF($C345&gt;$M345,"Fixed end-of-frame delimiter, value "&amp;Overview!$B$25&amp;".",IFERROR(INDEX(Fields!$G$5:$G$48,MATCH($D345,Fields!$A$5:$A$48,0)),"MISSING")))</f>
        <v/>
      </c>
      <c r="K345" s="21" t="str">
        <f>IF($L345="","",IF($C345&gt;$M345,"n/a",IFERROR(INDEX(Fields!$H$5:$H$48,MATCH($D345,Fields!$A$5:$A$48,0)),"MISSING")))</f>
        <v/>
      </c>
      <c r="L345" s="23" t="str">
        <f>IF(ROWS($L$5:L345)&gt;MAX('Packet Builder'!$O$5:$O$34),"",COUNTIF('Packet Builder'!$O$5:$O$34,"&lt;"&amp;ROWS($L$5:L345))+1)</f>
        <v/>
      </c>
      <c r="M345" s="23" t="str">
        <f>IF($L345="","",INDEX('Packet Builder'!$F$5:$F$34,$L345))</f>
        <v/>
      </c>
    </row>
    <row r="346" spans="1:13" x14ac:dyDescent="0.35">
      <c r="A346" s="21" t="str">
        <f>IF($L346="","",INDEX('Packet Builder'!$A$5:$A$34,$L346))</f>
        <v/>
      </c>
      <c r="B346" s="21" t="str">
        <f>IF($L346="","",INDEX('Packet Builder'!$B$5:$B$34,$L346))</f>
        <v/>
      </c>
      <c r="C346" s="22" t="str">
        <f>IF($L346="","",ROWS($L$5:L346)-(INDEX('Packet Builder'!$O$5:$O$34,$L346)-$M346-1))</f>
        <v/>
      </c>
      <c r="D346" s="22" t="str">
        <f>IF($L346="","",IF($C346&gt;$M346,"EOF",IFERROR(VALUE(TRIM(MID(SUBSTITUTE(INDEX('Packet Builder'!$P$5:$P$34,$L346),",",REPT(" ",LEN(INDEX('Packet Builder'!$P$5:$P$34,$L346)))),($C346-1)*LEN(INDEX('Packet Builder'!$P$5:$P$34,$L346))+1,LEN(INDEX('Packet Builder'!$P$5:$P$34,$L346))))),"ERR")))</f>
        <v/>
      </c>
      <c r="E346" s="21" t="str">
        <f>IF($L346="","",IF($C346&gt;$M346,"End of Frame Delimiter",IFERROR(INDEX(Fields!$B$5:$B$48,MATCH($D346,Fields!$A$5:$A$48,0)),"MISSING")))</f>
        <v/>
      </c>
      <c r="F346" s="22" t="str">
        <f>IF($L346="","",SUMIF($L$5:L346,L346,$G$5:G346)-G346)</f>
        <v/>
      </c>
      <c r="G346" s="22" t="str">
        <f>IF($L346="","",IF($C346&gt;$M346,Overview!$B$26,IFERROR(INDEX(Fields!$F$5:$F$48,MATCH($D346,Fields!$A$5:$A$48,0)),0)))</f>
        <v/>
      </c>
      <c r="H346" s="22" t="str">
        <f t="shared" si="5"/>
        <v/>
      </c>
      <c r="I346" s="21" t="str">
        <f>IF($L346="","",IF($C346&gt;$M346,IF(Overview!$B$26=1,"uint8","uint8["&amp;Overview!$B$26&amp;"]"),IFERROR(INDEX(Fields!$E$5:$E$48,MATCH($D346,Fields!$A$5:$A$48,0)),"MISSING")))</f>
        <v/>
      </c>
      <c r="J346" s="21" t="str">
        <f>IF($L346="","",IF($C346&gt;$M346,"Fixed end-of-frame delimiter, value "&amp;Overview!$B$25&amp;".",IFERROR(INDEX(Fields!$G$5:$G$48,MATCH($D346,Fields!$A$5:$A$48,0)),"MISSING")))</f>
        <v/>
      </c>
      <c r="K346" s="21" t="str">
        <f>IF($L346="","",IF($C346&gt;$M346,"n/a",IFERROR(INDEX(Fields!$H$5:$H$48,MATCH($D346,Fields!$A$5:$A$48,0)),"MISSING")))</f>
        <v/>
      </c>
      <c r="L346" s="23" t="str">
        <f>IF(ROWS($L$5:L346)&gt;MAX('Packet Builder'!$O$5:$O$34),"",COUNTIF('Packet Builder'!$O$5:$O$34,"&lt;"&amp;ROWS($L$5:L346))+1)</f>
        <v/>
      </c>
      <c r="M346" s="23" t="str">
        <f>IF($L346="","",INDEX('Packet Builder'!$F$5:$F$34,$L346))</f>
        <v/>
      </c>
    </row>
    <row r="347" spans="1:13" x14ac:dyDescent="0.35">
      <c r="A347" s="21" t="str">
        <f>IF($L347="","",INDEX('Packet Builder'!$A$5:$A$34,$L347))</f>
        <v/>
      </c>
      <c r="B347" s="21" t="str">
        <f>IF($L347="","",INDEX('Packet Builder'!$B$5:$B$34,$L347))</f>
        <v/>
      </c>
      <c r="C347" s="22" t="str">
        <f>IF($L347="","",ROWS($L$5:L347)-(INDEX('Packet Builder'!$O$5:$O$34,$L347)-$M347-1))</f>
        <v/>
      </c>
      <c r="D347" s="22" t="str">
        <f>IF($L347="","",IF($C347&gt;$M347,"EOF",IFERROR(VALUE(TRIM(MID(SUBSTITUTE(INDEX('Packet Builder'!$P$5:$P$34,$L347),",",REPT(" ",LEN(INDEX('Packet Builder'!$P$5:$P$34,$L347)))),($C347-1)*LEN(INDEX('Packet Builder'!$P$5:$P$34,$L347))+1,LEN(INDEX('Packet Builder'!$P$5:$P$34,$L347))))),"ERR")))</f>
        <v/>
      </c>
      <c r="E347" s="21" t="str">
        <f>IF($L347="","",IF($C347&gt;$M347,"End of Frame Delimiter",IFERROR(INDEX(Fields!$B$5:$B$48,MATCH($D347,Fields!$A$5:$A$48,0)),"MISSING")))</f>
        <v/>
      </c>
      <c r="F347" s="22" t="str">
        <f>IF($L347="","",SUMIF($L$5:L347,L347,$G$5:G347)-G347)</f>
        <v/>
      </c>
      <c r="G347" s="22" t="str">
        <f>IF($L347="","",IF($C347&gt;$M347,Overview!$B$26,IFERROR(INDEX(Fields!$F$5:$F$48,MATCH($D347,Fields!$A$5:$A$48,0)),0)))</f>
        <v/>
      </c>
      <c r="H347" s="22" t="str">
        <f t="shared" si="5"/>
        <v/>
      </c>
      <c r="I347" s="21" t="str">
        <f>IF($L347="","",IF($C347&gt;$M347,IF(Overview!$B$26=1,"uint8","uint8["&amp;Overview!$B$26&amp;"]"),IFERROR(INDEX(Fields!$E$5:$E$48,MATCH($D347,Fields!$A$5:$A$48,0)),"MISSING")))</f>
        <v/>
      </c>
      <c r="J347" s="21" t="str">
        <f>IF($L347="","",IF($C347&gt;$M347,"Fixed end-of-frame delimiter, value "&amp;Overview!$B$25&amp;".",IFERROR(INDEX(Fields!$G$5:$G$48,MATCH($D347,Fields!$A$5:$A$48,0)),"MISSING")))</f>
        <v/>
      </c>
      <c r="K347" s="21" t="str">
        <f>IF($L347="","",IF($C347&gt;$M347,"n/a",IFERROR(INDEX(Fields!$H$5:$H$48,MATCH($D347,Fields!$A$5:$A$48,0)),"MISSING")))</f>
        <v/>
      </c>
      <c r="L347" s="23" t="str">
        <f>IF(ROWS($L$5:L347)&gt;MAX('Packet Builder'!$O$5:$O$34),"",COUNTIF('Packet Builder'!$O$5:$O$34,"&lt;"&amp;ROWS($L$5:L347))+1)</f>
        <v/>
      </c>
      <c r="M347" s="23" t="str">
        <f>IF($L347="","",INDEX('Packet Builder'!$F$5:$F$34,$L347))</f>
        <v/>
      </c>
    </row>
    <row r="348" spans="1:13" x14ac:dyDescent="0.35">
      <c r="A348" s="21" t="str">
        <f>IF($L348="","",INDEX('Packet Builder'!$A$5:$A$34,$L348))</f>
        <v/>
      </c>
      <c r="B348" s="21" t="str">
        <f>IF($L348="","",INDEX('Packet Builder'!$B$5:$B$34,$L348))</f>
        <v/>
      </c>
      <c r="C348" s="22" t="str">
        <f>IF($L348="","",ROWS($L$5:L348)-(INDEX('Packet Builder'!$O$5:$O$34,$L348)-$M348-1))</f>
        <v/>
      </c>
      <c r="D348" s="22" t="str">
        <f>IF($L348="","",IF($C348&gt;$M348,"EOF",IFERROR(VALUE(TRIM(MID(SUBSTITUTE(INDEX('Packet Builder'!$P$5:$P$34,$L348),",",REPT(" ",LEN(INDEX('Packet Builder'!$P$5:$P$34,$L348)))),($C348-1)*LEN(INDEX('Packet Builder'!$P$5:$P$34,$L348))+1,LEN(INDEX('Packet Builder'!$P$5:$P$34,$L348))))),"ERR")))</f>
        <v/>
      </c>
      <c r="E348" s="21" t="str">
        <f>IF($L348="","",IF($C348&gt;$M348,"End of Frame Delimiter",IFERROR(INDEX(Fields!$B$5:$B$48,MATCH($D348,Fields!$A$5:$A$48,0)),"MISSING")))</f>
        <v/>
      </c>
      <c r="F348" s="22" t="str">
        <f>IF($L348="","",SUMIF($L$5:L348,L348,$G$5:G348)-G348)</f>
        <v/>
      </c>
      <c r="G348" s="22" t="str">
        <f>IF($L348="","",IF($C348&gt;$M348,Overview!$B$26,IFERROR(INDEX(Fields!$F$5:$F$48,MATCH($D348,Fields!$A$5:$A$48,0)),0)))</f>
        <v/>
      </c>
      <c r="H348" s="22" t="str">
        <f t="shared" si="5"/>
        <v/>
      </c>
      <c r="I348" s="21" t="str">
        <f>IF($L348="","",IF($C348&gt;$M348,IF(Overview!$B$26=1,"uint8","uint8["&amp;Overview!$B$26&amp;"]"),IFERROR(INDEX(Fields!$E$5:$E$48,MATCH($D348,Fields!$A$5:$A$48,0)),"MISSING")))</f>
        <v/>
      </c>
      <c r="J348" s="21" t="str">
        <f>IF($L348="","",IF($C348&gt;$M348,"Fixed end-of-frame delimiter, value "&amp;Overview!$B$25&amp;".",IFERROR(INDEX(Fields!$G$5:$G$48,MATCH($D348,Fields!$A$5:$A$48,0)),"MISSING")))</f>
        <v/>
      </c>
      <c r="K348" s="21" t="str">
        <f>IF($L348="","",IF($C348&gt;$M348,"n/a",IFERROR(INDEX(Fields!$H$5:$H$48,MATCH($D348,Fields!$A$5:$A$48,0)),"MISSING")))</f>
        <v/>
      </c>
      <c r="L348" s="23" t="str">
        <f>IF(ROWS($L$5:L348)&gt;MAX('Packet Builder'!$O$5:$O$34),"",COUNTIF('Packet Builder'!$O$5:$O$34,"&lt;"&amp;ROWS($L$5:L348))+1)</f>
        <v/>
      </c>
      <c r="M348" s="23" t="str">
        <f>IF($L348="","",INDEX('Packet Builder'!$F$5:$F$34,$L348))</f>
        <v/>
      </c>
    </row>
    <row r="349" spans="1:13" x14ac:dyDescent="0.35">
      <c r="A349" s="21" t="str">
        <f>IF($L349="","",INDEX('Packet Builder'!$A$5:$A$34,$L349))</f>
        <v/>
      </c>
      <c r="B349" s="21" t="str">
        <f>IF($L349="","",INDEX('Packet Builder'!$B$5:$B$34,$L349))</f>
        <v/>
      </c>
      <c r="C349" s="22" t="str">
        <f>IF($L349="","",ROWS($L$5:L349)-(INDEX('Packet Builder'!$O$5:$O$34,$L349)-$M349-1))</f>
        <v/>
      </c>
      <c r="D349" s="22" t="str">
        <f>IF($L349="","",IF($C349&gt;$M349,"EOF",IFERROR(VALUE(TRIM(MID(SUBSTITUTE(INDEX('Packet Builder'!$P$5:$P$34,$L349),",",REPT(" ",LEN(INDEX('Packet Builder'!$P$5:$P$34,$L349)))),($C349-1)*LEN(INDEX('Packet Builder'!$P$5:$P$34,$L349))+1,LEN(INDEX('Packet Builder'!$P$5:$P$34,$L349))))),"ERR")))</f>
        <v/>
      </c>
      <c r="E349" s="21" t="str">
        <f>IF($L349="","",IF($C349&gt;$M349,"End of Frame Delimiter",IFERROR(INDEX(Fields!$B$5:$B$48,MATCH($D349,Fields!$A$5:$A$48,0)),"MISSING")))</f>
        <v/>
      </c>
      <c r="F349" s="22" t="str">
        <f>IF($L349="","",SUMIF($L$5:L349,L349,$G$5:G349)-G349)</f>
        <v/>
      </c>
      <c r="G349" s="22" t="str">
        <f>IF($L349="","",IF($C349&gt;$M349,Overview!$B$26,IFERROR(INDEX(Fields!$F$5:$F$48,MATCH($D349,Fields!$A$5:$A$48,0)),0)))</f>
        <v/>
      </c>
      <c r="H349" s="22" t="str">
        <f t="shared" si="5"/>
        <v/>
      </c>
      <c r="I349" s="21" t="str">
        <f>IF($L349="","",IF($C349&gt;$M349,IF(Overview!$B$26=1,"uint8","uint8["&amp;Overview!$B$26&amp;"]"),IFERROR(INDEX(Fields!$E$5:$E$48,MATCH($D349,Fields!$A$5:$A$48,0)),"MISSING")))</f>
        <v/>
      </c>
      <c r="J349" s="21" t="str">
        <f>IF($L349="","",IF($C349&gt;$M349,"Fixed end-of-frame delimiter, value "&amp;Overview!$B$25&amp;".",IFERROR(INDEX(Fields!$G$5:$G$48,MATCH($D349,Fields!$A$5:$A$48,0)),"MISSING")))</f>
        <v/>
      </c>
      <c r="K349" s="21" t="str">
        <f>IF($L349="","",IF($C349&gt;$M349,"n/a",IFERROR(INDEX(Fields!$H$5:$H$48,MATCH($D349,Fields!$A$5:$A$48,0)),"MISSING")))</f>
        <v/>
      </c>
      <c r="L349" s="23" t="str">
        <f>IF(ROWS($L$5:L349)&gt;MAX('Packet Builder'!$O$5:$O$34),"",COUNTIF('Packet Builder'!$O$5:$O$34,"&lt;"&amp;ROWS($L$5:L349))+1)</f>
        <v/>
      </c>
      <c r="M349" s="23" t="str">
        <f>IF($L349="","",INDEX('Packet Builder'!$F$5:$F$34,$L349))</f>
        <v/>
      </c>
    </row>
    <row r="350" spans="1:13" x14ac:dyDescent="0.35">
      <c r="A350" s="21" t="str">
        <f>IF($L350="","",INDEX('Packet Builder'!$A$5:$A$34,$L350))</f>
        <v/>
      </c>
      <c r="B350" s="21" t="str">
        <f>IF($L350="","",INDEX('Packet Builder'!$B$5:$B$34,$L350))</f>
        <v/>
      </c>
      <c r="C350" s="22" t="str">
        <f>IF($L350="","",ROWS($L$5:L350)-(INDEX('Packet Builder'!$O$5:$O$34,$L350)-$M350-1))</f>
        <v/>
      </c>
      <c r="D350" s="22" t="str">
        <f>IF($L350="","",IF($C350&gt;$M350,"EOF",IFERROR(VALUE(TRIM(MID(SUBSTITUTE(INDEX('Packet Builder'!$P$5:$P$34,$L350),",",REPT(" ",LEN(INDEX('Packet Builder'!$P$5:$P$34,$L350)))),($C350-1)*LEN(INDEX('Packet Builder'!$P$5:$P$34,$L350))+1,LEN(INDEX('Packet Builder'!$P$5:$P$34,$L350))))),"ERR")))</f>
        <v/>
      </c>
      <c r="E350" s="21" t="str">
        <f>IF($L350="","",IF($C350&gt;$M350,"End of Frame Delimiter",IFERROR(INDEX(Fields!$B$5:$B$48,MATCH($D350,Fields!$A$5:$A$48,0)),"MISSING")))</f>
        <v/>
      </c>
      <c r="F350" s="22" t="str">
        <f>IF($L350="","",SUMIF($L$5:L350,L350,$G$5:G350)-G350)</f>
        <v/>
      </c>
      <c r="G350" s="22" t="str">
        <f>IF($L350="","",IF($C350&gt;$M350,Overview!$B$26,IFERROR(INDEX(Fields!$F$5:$F$48,MATCH($D350,Fields!$A$5:$A$48,0)),0)))</f>
        <v/>
      </c>
      <c r="H350" s="22" t="str">
        <f t="shared" si="5"/>
        <v/>
      </c>
      <c r="I350" s="21" t="str">
        <f>IF($L350="","",IF($C350&gt;$M350,IF(Overview!$B$26=1,"uint8","uint8["&amp;Overview!$B$26&amp;"]"),IFERROR(INDEX(Fields!$E$5:$E$48,MATCH($D350,Fields!$A$5:$A$48,0)),"MISSING")))</f>
        <v/>
      </c>
      <c r="J350" s="21" t="str">
        <f>IF($L350="","",IF($C350&gt;$M350,"Fixed end-of-frame delimiter, value "&amp;Overview!$B$25&amp;".",IFERROR(INDEX(Fields!$G$5:$G$48,MATCH($D350,Fields!$A$5:$A$48,0)),"MISSING")))</f>
        <v/>
      </c>
      <c r="K350" s="21" t="str">
        <f>IF($L350="","",IF($C350&gt;$M350,"n/a",IFERROR(INDEX(Fields!$H$5:$H$48,MATCH($D350,Fields!$A$5:$A$48,0)),"MISSING")))</f>
        <v/>
      </c>
      <c r="L350" s="23" t="str">
        <f>IF(ROWS($L$5:L350)&gt;MAX('Packet Builder'!$O$5:$O$34),"",COUNTIF('Packet Builder'!$O$5:$O$34,"&lt;"&amp;ROWS($L$5:L350))+1)</f>
        <v/>
      </c>
      <c r="M350" s="23" t="str">
        <f>IF($L350="","",INDEX('Packet Builder'!$F$5:$F$34,$L350))</f>
        <v/>
      </c>
    </row>
    <row r="351" spans="1:13" x14ac:dyDescent="0.35">
      <c r="A351" s="21" t="str">
        <f>IF($L351="","",INDEX('Packet Builder'!$A$5:$A$34,$L351))</f>
        <v/>
      </c>
      <c r="B351" s="21" t="str">
        <f>IF($L351="","",INDEX('Packet Builder'!$B$5:$B$34,$L351))</f>
        <v/>
      </c>
      <c r="C351" s="22" t="str">
        <f>IF($L351="","",ROWS($L$5:L351)-(INDEX('Packet Builder'!$O$5:$O$34,$L351)-$M351-1))</f>
        <v/>
      </c>
      <c r="D351" s="22" t="str">
        <f>IF($L351="","",IF($C351&gt;$M351,"EOF",IFERROR(VALUE(TRIM(MID(SUBSTITUTE(INDEX('Packet Builder'!$P$5:$P$34,$L351),",",REPT(" ",LEN(INDEX('Packet Builder'!$P$5:$P$34,$L351)))),($C351-1)*LEN(INDEX('Packet Builder'!$P$5:$P$34,$L351))+1,LEN(INDEX('Packet Builder'!$P$5:$P$34,$L351))))),"ERR")))</f>
        <v/>
      </c>
      <c r="E351" s="21" t="str">
        <f>IF($L351="","",IF($C351&gt;$M351,"End of Frame Delimiter",IFERROR(INDEX(Fields!$B$5:$B$48,MATCH($D351,Fields!$A$5:$A$48,0)),"MISSING")))</f>
        <v/>
      </c>
      <c r="F351" s="22" t="str">
        <f>IF($L351="","",SUMIF($L$5:L351,L351,$G$5:G351)-G351)</f>
        <v/>
      </c>
      <c r="G351" s="22" t="str">
        <f>IF($L351="","",IF($C351&gt;$M351,Overview!$B$26,IFERROR(INDEX(Fields!$F$5:$F$48,MATCH($D351,Fields!$A$5:$A$48,0)),0)))</f>
        <v/>
      </c>
      <c r="H351" s="22" t="str">
        <f t="shared" si="5"/>
        <v/>
      </c>
      <c r="I351" s="21" t="str">
        <f>IF($L351="","",IF($C351&gt;$M351,IF(Overview!$B$26=1,"uint8","uint8["&amp;Overview!$B$26&amp;"]"),IFERROR(INDEX(Fields!$E$5:$E$48,MATCH($D351,Fields!$A$5:$A$48,0)),"MISSING")))</f>
        <v/>
      </c>
      <c r="J351" s="21" t="str">
        <f>IF($L351="","",IF($C351&gt;$M351,"Fixed end-of-frame delimiter, value "&amp;Overview!$B$25&amp;".",IFERROR(INDEX(Fields!$G$5:$G$48,MATCH($D351,Fields!$A$5:$A$48,0)),"MISSING")))</f>
        <v/>
      </c>
      <c r="K351" s="21" t="str">
        <f>IF($L351="","",IF($C351&gt;$M351,"n/a",IFERROR(INDEX(Fields!$H$5:$H$48,MATCH($D351,Fields!$A$5:$A$48,0)),"MISSING")))</f>
        <v/>
      </c>
      <c r="L351" s="23" t="str">
        <f>IF(ROWS($L$5:L351)&gt;MAX('Packet Builder'!$O$5:$O$34),"",COUNTIF('Packet Builder'!$O$5:$O$34,"&lt;"&amp;ROWS($L$5:L351))+1)</f>
        <v/>
      </c>
      <c r="M351" s="23" t="str">
        <f>IF($L351="","",INDEX('Packet Builder'!$F$5:$F$34,$L351))</f>
        <v/>
      </c>
    </row>
    <row r="352" spans="1:13" x14ac:dyDescent="0.35">
      <c r="A352" s="21" t="str">
        <f>IF($L352="","",INDEX('Packet Builder'!$A$5:$A$34,$L352))</f>
        <v/>
      </c>
      <c r="B352" s="21" t="str">
        <f>IF($L352="","",INDEX('Packet Builder'!$B$5:$B$34,$L352))</f>
        <v/>
      </c>
      <c r="C352" s="22" t="str">
        <f>IF($L352="","",ROWS($L$5:L352)-(INDEX('Packet Builder'!$O$5:$O$34,$L352)-$M352-1))</f>
        <v/>
      </c>
      <c r="D352" s="22" t="str">
        <f>IF($L352="","",IF($C352&gt;$M352,"EOF",IFERROR(VALUE(TRIM(MID(SUBSTITUTE(INDEX('Packet Builder'!$P$5:$P$34,$L352),",",REPT(" ",LEN(INDEX('Packet Builder'!$P$5:$P$34,$L352)))),($C352-1)*LEN(INDEX('Packet Builder'!$P$5:$P$34,$L352))+1,LEN(INDEX('Packet Builder'!$P$5:$P$34,$L352))))),"ERR")))</f>
        <v/>
      </c>
      <c r="E352" s="21" t="str">
        <f>IF($L352="","",IF($C352&gt;$M352,"End of Frame Delimiter",IFERROR(INDEX(Fields!$B$5:$B$48,MATCH($D352,Fields!$A$5:$A$48,0)),"MISSING")))</f>
        <v/>
      </c>
      <c r="F352" s="22" t="str">
        <f>IF($L352="","",SUMIF($L$5:L352,L352,$G$5:G352)-G352)</f>
        <v/>
      </c>
      <c r="G352" s="22" t="str">
        <f>IF($L352="","",IF($C352&gt;$M352,Overview!$B$26,IFERROR(INDEX(Fields!$F$5:$F$48,MATCH($D352,Fields!$A$5:$A$48,0)),0)))</f>
        <v/>
      </c>
      <c r="H352" s="22" t="str">
        <f t="shared" si="5"/>
        <v/>
      </c>
      <c r="I352" s="21" t="str">
        <f>IF($L352="","",IF($C352&gt;$M352,IF(Overview!$B$26=1,"uint8","uint8["&amp;Overview!$B$26&amp;"]"),IFERROR(INDEX(Fields!$E$5:$E$48,MATCH($D352,Fields!$A$5:$A$48,0)),"MISSING")))</f>
        <v/>
      </c>
      <c r="J352" s="21" t="str">
        <f>IF($L352="","",IF($C352&gt;$M352,"Fixed end-of-frame delimiter, value "&amp;Overview!$B$25&amp;".",IFERROR(INDEX(Fields!$G$5:$G$48,MATCH($D352,Fields!$A$5:$A$48,0)),"MISSING")))</f>
        <v/>
      </c>
      <c r="K352" s="21" t="str">
        <f>IF($L352="","",IF($C352&gt;$M352,"n/a",IFERROR(INDEX(Fields!$H$5:$H$48,MATCH($D352,Fields!$A$5:$A$48,0)),"MISSING")))</f>
        <v/>
      </c>
      <c r="L352" s="23" t="str">
        <f>IF(ROWS($L$5:L352)&gt;MAX('Packet Builder'!$O$5:$O$34),"",COUNTIF('Packet Builder'!$O$5:$O$34,"&lt;"&amp;ROWS($L$5:L352))+1)</f>
        <v/>
      </c>
      <c r="M352" s="23" t="str">
        <f>IF($L352="","",INDEX('Packet Builder'!$F$5:$F$34,$L352))</f>
        <v/>
      </c>
    </row>
    <row r="353" spans="1:13" x14ac:dyDescent="0.35">
      <c r="A353" s="21" t="str">
        <f>IF($L353="","",INDEX('Packet Builder'!$A$5:$A$34,$L353))</f>
        <v/>
      </c>
      <c r="B353" s="21" t="str">
        <f>IF($L353="","",INDEX('Packet Builder'!$B$5:$B$34,$L353))</f>
        <v/>
      </c>
      <c r="C353" s="22" t="str">
        <f>IF($L353="","",ROWS($L$5:L353)-(INDEX('Packet Builder'!$O$5:$O$34,$L353)-$M353-1))</f>
        <v/>
      </c>
      <c r="D353" s="22" t="str">
        <f>IF($L353="","",IF($C353&gt;$M353,"EOF",IFERROR(VALUE(TRIM(MID(SUBSTITUTE(INDEX('Packet Builder'!$P$5:$P$34,$L353),",",REPT(" ",LEN(INDEX('Packet Builder'!$P$5:$P$34,$L353)))),($C353-1)*LEN(INDEX('Packet Builder'!$P$5:$P$34,$L353))+1,LEN(INDEX('Packet Builder'!$P$5:$P$34,$L353))))),"ERR")))</f>
        <v/>
      </c>
      <c r="E353" s="21" t="str">
        <f>IF($L353="","",IF($C353&gt;$M353,"End of Frame Delimiter",IFERROR(INDEX(Fields!$B$5:$B$48,MATCH($D353,Fields!$A$5:$A$48,0)),"MISSING")))</f>
        <v/>
      </c>
      <c r="F353" s="22" t="str">
        <f>IF($L353="","",SUMIF($L$5:L353,L353,$G$5:G353)-G353)</f>
        <v/>
      </c>
      <c r="G353" s="22" t="str">
        <f>IF($L353="","",IF($C353&gt;$M353,Overview!$B$26,IFERROR(INDEX(Fields!$F$5:$F$48,MATCH($D353,Fields!$A$5:$A$48,0)),0)))</f>
        <v/>
      </c>
      <c r="H353" s="22" t="str">
        <f t="shared" si="5"/>
        <v/>
      </c>
      <c r="I353" s="21" t="str">
        <f>IF($L353="","",IF($C353&gt;$M353,IF(Overview!$B$26=1,"uint8","uint8["&amp;Overview!$B$26&amp;"]"),IFERROR(INDEX(Fields!$E$5:$E$48,MATCH($D353,Fields!$A$5:$A$48,0)),"MISSING")))</f>
        <v/>
      </c>
      <c r="J353" s="21" t="str">
        <f>IF($L353="","",IF($C353&gt;$M353,"Fixed end-of-frame delimiter, value "&amp;Overview!$B$25&amp;".",IFERROR(INDEX(Fields!$G$5:$G$48,MATCH($D353,Fields!$A$5:$A$48,0)),"MISSING")))</f>
        <v/>
      </c>
      <c r="K353" s="21" t="str">
        <f>IF($L353="","",IF($C353&gt;$M353,"n/a",IFERROR(INDEX(Fields!$H$5:$H$48,MATCH($D353,Fields!$A$5:$A$48,0)),"MISSING")))</f>
        <v/>
      </c>
      <c r="L353" s="23" t="str">
        <f>IF(ROWS($L$5:L353)&gt;MAX('Packet Builder'!$O$5:$O$34),"",COUNTIF('Packet Builder'!$O$5:$O$34,"&lt;"&amp;ROWS($L$5:L353))+1)</f>
        <v/>
      </c>
      <c r="M353" s="23" t="str">
        <f>IF($L353="","",INDEX('Packet Builder'!$F$5:$F$34,$L353))</f>
        <v/>
      </c>
    </row>
    <row r="354" spans="1:13" x14ac:dyDescent="0.35">
      <c r="A354" s="21" t="str">
        <f>IF($L354="","",INDEX('Packet Builder'!$A$5:$A$34,$L354))</f>
        <v/>
      </c>
      <c r="B354" s="21" t="str">
        <f>IF($L354="","",INDEX('Packet Builder'!$B$5:$B$34,$L354))</f>
        <v/>
      </c>
      <c r="C354" s="22" t="str">
        <f>IF($L354="","",ROWS($L$5:L354)-(INDEX('Packet Builder'!$O$5:$O$34,$L354)-$M354-1))</f>
        <v/>
      </c>
      <c r="D354" s="22" t="str">
        <f>IF($L354="","",IF($C354&gt;$M354,"EOF",IFERROR(VALUE(TRIM(MID(SUBSTITUTE(INDEX('Packet Builder'!$P$5:$P$34,$L354),",",REPT(" ",LEN(INDEX('Packet Builder'!$P$5:$P$34,$L354)))),($C354-1)*LEN(INDEX('Packet Builder'!$P$5:$P$34,$L354))+1,LEN(INDEX('Packet Builder'!$P$5:$P$34,$L354))))),"ERR")))</f>
        <v/>
      </c>
      <c r="E354" s="21" t="str">
        <f>IF($L354="","",IF($C354&gt;$M354,"End of Frame Delimiter",IFERROR(INDEX(Fields!$B$5:$B$48,MATCH($D354,Fields!$A$5:$A$48,0)),"MISSING")))</f>
        <v/>
      </c>
      <c r="F354" s="22" t="str">
        <f>IF($L354="","",SUMIF($L$5:L354,L354,$G$5:G354)-G354)</f>
        <v/>
      </c>
      <c r="G354" s="22" t="str">
        <f>IF($L354="","",IF($C354&gt;$M354,Overview!$B$26,IFERROR(INDEX(Fields!$F$5:$F$48,MATCH($D354,Fields!$A$5:$A$48,0)),0)))</f>
        <v/>
      </c>
      <c r="H354" s="22" t="str">
        <f t="shared" si="5"/>
        <v/>
      </c>
      <c r="I354" s="21" t="str">
        <f>IF($L354="","",IF($C354&gt;$M354,IF(Overview!$B$26=1,"uint8","uint8["&amp;Overview!$B$26&amp;"]"),IFERROR(INDEX(Fields!$E$5:$E$48,MATCH($D354,Fields!$A$5:$A$48,0)),"MISSING")))</f>
        <v/>
      </c>
      <c r="J354" s="21" t="str">
        <f>IF($L354="","",IF($C354&gt;$M354,"Fixed end-of-frame delimiter, value "&amp;Overview!$B$25&amp;".",IFERROR(INDEX(Fields!$G$5:$G$48,MATCH($D354,Fields!$A$5:$A$48,0)),"MISSING")))</f>
        <v/>
      </c>
      <c r="K354" s="21" t="str">
        <f>IF($L354="","",IF($C354&gt;$M354,"n/a",IFERROR(INDEX(Fields!$H$5:$H$48,MATCH($D354,Fields!$A$5:$A$48,0)),"MISSING")))</f>
        <v/>
      </c>
      <c r="L354" s="23" t="str">
        <f>IF(ROWS($L$5:L354)&gt;MAX('Packet Builder'!$O$5:$O$34),"",COUNTIF('Packet Builder'!$O$5:$O$34,"&lt;"&amp;ROWS($L$5:L354))+1)</f>
        <v/>
      </c>
      <c r="M354" s="23" t="str">
        <f>IF($L354="","",INDEX('Packet Builder'!$F$5:$F$34,$L354))</f>
        <v/>
      </c>
    </row>
    <row r="355" spans="1:13" x14ac:dyDescent="0.35">
      <c r="A355" s="21" t="str">
        <f>IF($L355="","",INDEX('Packet Builder'!$A$5:$A$34,$L355))</f>
        <v/>
      </c>
      <c r="B355" s="21" t="str">
        <f>IF($L355="","",INDEX('Packet Builder'!$B$5:$B$34,$L355))</f>
        <v/>
      </c>
      <c r="C355" s="22" t="str">
        <f>IF($L355="","",ROWS($L$5:L355)-(INDEX('Packet Builder'!$O$5:$O$34,$L355)-$M355-1))</f>
        <v/>
      </c>
      <c r="D355" s="22" t="str">
        <f>IF($L355="","",IF($C355&gt;$M355,"EOF",IFERROR(VALUE(TRIM(MID(SUBSTITUTE(INDEX('Packet Builder'!$P$5:$P$34,$L355),",",REPT(" ",LEN(INDEX('Packet Builder'!$P$5:$P$34,$L355)))),($C355-1)*LEN(INDEX('Packet Builder'!$P$5:$P$34,$L355))+1,LEN(INDEX('Packet Builder'!$P$5:$P$34,$L355))))),"ERR")))</f>
        <v/>
      </c>
      <c r="E355" s="21" t="str">
        <f>IF($L355="","",IF($C355&gt;$M355,"End of Frame Delimiter",IFERROR(INDEX(Fields!$B$5:$B$48,MATCH($D355,Fields!$A$5:$A$48,0)),"MISSING")))</f>
        <v/>
      </c>
      <c r="F355" s="22" t="str">
        <f>IF($L355="","",SUMIF($L$5:L355,L355,$G$5:G355)-G355)</f>
        <v/>
      </c>
      <c r="G355" s="22" t="str">
        <f>IF($L355="","",IF($C355&gt;$M355,Overview!$B$26,IFERROR(INDEX(Fields!$F$5:$F$48,MATCH($D355,Fields!$A$5:$A$48,0)),0)))</f>
        <v/>
      </c>
      <c r="H355" s="22" t="str">
        <f t="shared" si="5"/>
        <v/>
      </c>
      <c r="I355" s="21" t="str">
        <f>IF($L355="","",IF($C355&gt;$M355,IF(Overview!$B$26=1,"uint8","uint8["&amp;Overview!$B$26&amp;"]"),IFERROR(INDEX(Fields!$E$5:$E$48,MATCH($D355,Fields!$A$5:$A$48,0)),"MISSING")))</f>
        <v/>
      </c>
      <c r="J355" s="21" t="str">
        <f>IF($L355="","",IF($C355&gt;$M355,"Fixed end-of-frame delimiter, value "&amp;Overview!$B$25&amp;".",IFERROR(INDEX(Fields!$G$5:$G$48,MATCH($D355,Fields!$A$5:$A$48,0)),"MISSING")))</f>
        <v/>
      </c>
      <c r="K355" s="21" t="str">
        <f>IF($L355="","",IF($C355&gt;$M355,"n/a",IFERROR(INDEX(Fields!$H$5:$H$48,MATCH($D355,Fields!$A$5:$A$48,0)),"MISSING")))</f>
        <v/>
      </c>
      <c r="L355" s="23" t="str">
        <f>IF(ROWS($L$5:L355)&gt;MAX('Packet Builder'!$O$5:$O$34),"",COUNTIF('Packet Builder'!$O$5:$O$34,"&lt;"&amp;ROWS($L$5:L355))+1)</f>
        <v/>
      </c>
      <c r="M355" s="23" t="str">
        <f>IF($L355="","",INDEX('Packet Builder'!$F$5:$F$34,$L355))</f>
        <v/>
      </c>
    </row>
    <row r="356" spans="1:13" x14ac:dyDescent="0.35">
      <c r="A356" s="21" t="str">
        <f>IF($L356="","",INDEX('Packet Builder'!$A$5:$A$34,$L356))</f>
        <v/>
      </c>
      <c r="B356" s="21" t="str">
        <f>IF($L356="","",INDEX('Packet Builder'!$B$5:$B$34,$L356))</f>
        <v/>
      </c>
      <c r="C356" s="22" t="str">
        <f>IF($L356="","",ROWS($L$5:L356)-(INDEX('Packet Builder'!$O$5:$O$34,$L356)-$M356-1))</f>
        <v/>
      </c>
      <c r="D356" s="22" t="str">
        <f>IF($L356="","",IF($C356&gt;$M356,"EOF",IFERROR(VALUE(TRIM(MID(SUBSTITUTE(INDEX('Packet Builder'!$P$5:$P$34,$L356),",",REPT(" ",LEN(INDEX('Packet Builder'!$P$5:$P$34,$L356)))),($C356-1)*LEN(INDEX('Packet Builder'!$P$5:$P$34,$L356))+1,LEN(INDEX('Packet Builder'!$P$5:$P$34,$L356))))),"ERR")))</f>
        <v/>
      </c>
      <c r="E356" s="21" t="str">
        <f>IF($L356="","",IF($C356&gt;$M356,"End of Frame Delimiter",IFERROR(INDEX(Fields!$B$5:$B$48,MATCH($D356,Fields!$A$5:$A$48,0)),"MISSING")))</f>
        <v/>
      </c>
      <c r="F356" s="22" t="str">
        <f>IF($L356="","",SUMIF($L$5:L356,L356,$G$5:G356)-G356)</f>
        <v/>
      </c>
      <c r="G356" s="22" t="str">
        <f>IF($L356="","",IF($C356&gt;$M356,Overview!$B$26,IFERROR(INDEX(Fields!$F$5:$F$48,MATCH($D356,Fields!$A$5:$A$48,0)),0)))</f>
        <v/>
      </c>
      <c r="H356" s="22" t="str">
        <f t="shared" si="5"/>
        <v/>
      </c>
      <c r="I356" s="21" t="str">
        <f>IF($L356="","",IF($C356&gt;$M356,IF(Overview!$B$26=1,"uint8","uint8["&amp;Overview!$B$26&amp;"]"),IFERROR(INDEX(Fields!$E$5:$E$48,MATCH($D356,Fields!$A$5:$A$48,0)),"MISSING")))</f>
        <v/>
      </c>
      <c r="J356" s="21" t="str">
        <f>IF($L356="","",IF($C356&gt;$M356,"Fixed end-of-frame delimiter, value "&amp;Overview!$B$25&amp;".",IFERROR(INDEX(Fields!$G$5:$G$48,MATCH($D356,Fields!$A$5:$A$48,0)),"MISSING")))</f>
        <v/>
      </c>
      <c r="K356" s="21" t="str">
        <f>IF($L356="","",IF($C356&gt;$M356,"n/a",IFERROR(INDEX(Fields!$H$5:$H$48,MATCH($D356,Fields!$A$5:$A$48,0)),"MISSING")))</f>
        <v/>
      </c>
      <c r="L356" s="23" t="str">
        <f>IF(ROWS($L$5:L356)&gt;MAX('Packet Builder'!$O$5:$O$34),"",COUNTIF('Packet Builder'!$O$5:$O$34,"&lt;"&amp;ROWS($L$5:L356))+1)</f>
        <v/>
      </c>
      <c r="M356" s="23" t="str">
        <f>IF($L356="","",INDEX('Packet Builder'!$F$5:$F$34,$L356))</f>
        <v/>
      </c>
    </row>
    <row r="357" spans="1:13" x14ac:dyDescent="0.35">
      <c r="A357" s="21" t="str">
        <f>IF($L357="","",INDEX('Packet Builder'!$A$5:$A$34,$L357))</f>
        <v/>
      </c>
      <c r="B357" s="21" t="str">
        <f>IF($L357="","",INDEX('Packet Builder'!$B$5:$B$34,$L357))</f>
        <v/>
      </c>
      <c r="C357" s="22" t="str">
        <f>IF($L357="","",ROWS($L$5:L357)-(INDEX('Packet Builder'!$O$5:$O$34,$L357)-$M357-1))</f>
        <v/>
      </c>
      <c r="D357" s="22" t="str">
        <f>IF($L357="","",IF($C357&gt;$M357,"EOF",IFERROR(VALUE(TRIM(MID(SUBSTITUTE(INDEX('Packet Builder'!$P$5:$P$34,$L357),",",REPT(" ",LEN(INDEX('Packet Builder'!$P$5:$P$34,$L357)))),($C357-1)*LEN(INDEX('Packet Builder'!$P$5:$P$34,$L357))+1,LEN(INDEX('Packet Builder'!$P$5:$P$34,$L357))))),"ERR")))</f>
        <v/>
      </c>
      <c r="E357" s="21" t="str">
        <f>IF($L357="","",IF($C357&gt;$M357,"End of Frame Delimiter",IFERROR(INDEX(Fields!$B$5:$B$48,MATCH($D357,Fields!$A$5:$A$48,0)),"MISSING")))</f>
        <v/>
      </c>
      <c r="F357" s="22" t="str">
        <f>IF($L357="","",SUMIF($L$5:L357,L357,$G$5:G357)-G357)</f>
        <v/>
      </c>
      <c r="G357" s="22" t="str">
        <f>IF($L357="","",IF($C357&gt;$M357,Overview!$B$26,IFERROR(INDEX(Fields!$F$5:$F$48,MATCH($D357,Fields!$A$5:$A$48,0)),0)))</f>
        <v/>
      </c>
      <c r="H357" s="22" t="str">
        <f t="shared" si="5"/>
        <v/>
      </c>
      <c r="I357" s="21" t="str">
        <f>IF($L357="","",IF($C357&gt;$M357,IF(Overview!$B$26=1,"uint8","uint8["&amp;Overview!$B$26&amp;"]"),IFERROR(INDEX(Fields!$E$5:$E$48,MATCH($D357,Fields!$A$5:$A$48,0)),"MISSING")))</f>
        <v/>
      </c>
      <c r="J357" s="21" t="str">
        <f>IF($L357="","",IF($C357&gt;$M357,"Fixed end-of-frame delimiter, value "&amp;Overview!$B$25&amp;".",IFERROR(INDEX(Fields!$G$5:$G$48,MATCH($D357,Fields!$A$5:$A$48,0)),"MISSING")))</f>
        <v/>
      </c>
      <c r="K357" s="21" t="str">
        <f>IF($L357="","",IF($C357&gt;$M357,"n/a",IFERROR(INDEX(Fields!$H$5:$H$48,MATCH($D357,Fields!$A$5:$A$48,0)),"MISSING")))</f>
        <v/>
      </c>
      <c r="L357" s="23" t="str">
        <f>IF(ROWS($L$5:L357)&gt;MAX('Packet Builder'!$O$5:$O$34),"",COUNTIF('Packet Builder'!$O$5:$O$34,"&lt;"&amp;ROWS($L$5:L357))+1)</f>
        <v/>
      </c>
      <c r="M357" s="23" t="str">
        <f>IF($L357="","",INDEX('Packet Builder'!$F$5:$F$34,$L357))</f>
        <v/>
      </c>
    </row>
    <row r="358" spans="1:13" x14ac:dyDescent="0.35">
      <c r="A358" s="21" t="str">
        <f>IF($L358="","",INDEX('Packet Builder'!$A$5:$A$34,$L358))</f>
        <v/>
      </c>
      <c r="B358" s="21" t="str">
        <f>IF($L358="","",INDEX('Packet Builder'!$B$5:$B$34,$L358))</f>
        <v/>
      </c>
      <c r="C358" s="22" t="str">
        <f>IF($L358="","",ROWS($L$5:L358)-(INDEX('Packet Builder'!$O$5:$O$34,$L358)-$M358-1))</f>
        <v/>
      </c>
      <c r="D358" s="22" t="str">
        <f>IF($L358="","",IF($C358&gt;$M358,"EOF",IFERROR(VALUE(TRIM(MID(SUBSTITUTE(INDEX('Packet Builder'!$P$5:$P$34,$L358),",",REPT(" ",LEN(INDEX('Packet Builder'!$P$5:$P$34,$L358)))),($C358-1)*LEN(INDEX('Packet Builder'!$P$5:$P$34,$L358))+1,LEN(INDEX('Packet Builder'!$P$5:$P$34,$L358))))),"ERR")))</f>
        <v/>
      </c>
      <c r="E358" s="21" t="str">
        <f>IF($L358="","",IF($C358&gt;$M358,"End of Frame Delimiter",IFERROR(INDEX(Fields!$B$5:$B$48,MATCH($D358,Fields!$A$5:$A$48,0)),"MISSING")))</f>
        <v/>
      </c>
      <c r="F358" s="22" t="str">
        <f>IF($L358="","",SUMIF($L$5:L358,L358,$G$5:G358)-G358)</f>
        <v/>
      </c>
      <c r="G358" s="22" t="str">
        <f>IF($L358="","",IF($C358&gt;$M358,Overview!$B$26,IFERROR(INDEX(Fields!$F$5:$F$48,MATCH($D358,Fields!$A$5:$A$48,0)),0)))</f>
        <v/>
      </c>
      <c r="H358" s="22" t="str">
        <f t="shared" si="5"/>
        <v/>
      </c>
      <c r="I358" s="21" t="str">
        <f>IF($L358="","",IF($C358&gt;$M358,IF(Overview!$B$26=1,"uint8","uint8["&amp;Overview!$B$26&amp;"]"),IFERROR(INDEX(Fields!$E$5:$E$48,MATCH($D358,Fields!$A$5:$A$48,0)),"MISSING")))</f>
        <v/>
      </c>
      <c r="J358" s="21" t="str">
        <f>IF($L358="","",IF($C358&gt;$M358,"Fixed end-of-frame delimiter, value "&amp;Overview!$B$25&amp;".",IFERROR(INDEX(Fields!$G$5:$G$48,MATCH($D358,Fields!$A$5:$A$48,0)),"MISSING")))</f>
        <v/>
      </c>
      <c r="K358" s="21" t="str">
        <f>IF($L358="","",IF($C358&gt;$M358,"n/a",IFERROR(INDEX(Fields!$H$5:$H$48,MATCH($D358,Fields!$A$5:$A$48,0)),"MISSING")))</f>
        <v/>
      </c>
      <c r="L358" s="23" t="str">
        <f>IF(ROWS($L$5:L358)&gt;MAX('Packet Builder'!$O$5:$O$34),"",COUNTIF('Packet Builder'!$O$5:$O$34,"&lt;"&amp;ROWS($L$5:L358))+1)</f>
        <v/>
      </c>
      <c r="M358" s="23" t="str">
        <f>IF($L358="","",INDEX('Packet Builder'!$F$5:$F$34,$L358))</f>
        <v/>
      </c>
    </row>
    <row r="359" spans="1:13" x14ac:dyDescent="0.35">
      <c r="A359" s="21" t="str">
        <f>IF($L359="","",INDEX('Packet Builder'!$A$5:$A$34,$L359))</f>
        <v/>
      </c>
      <c r="B359" s="21" t="str">
        <f>IF($L359="","",INDEX('Packet Builder'!$B$5:$B$34,$L359))</f>
        <v/>
      </c>
      <c r="C359" s="22" t="str">
        <f>IF($L359="","",ROWS($L$5:L359)-(INDEX('Packet Builder'!$O$5:$O$34,$L359)-$M359-1))</f>
        <v/>
      </c>
      <c r="D359" s="22" t="str">
        <f>IF($L359="","",IF($C359&gt;$M359,"EOF",IFERROR(VALUE(TRIM(MID(SUBSTITUTE(INDEX('Packet Builder'!$P$5:$P$34,$L359),",",REPT(" ",LEN(INDEX('Packet Builder'!$P$5:$P$34,$L359)))),($C359-1)*LEN(INDEX('Packet Builder'!$P$5:$P$34,$L359))+1,LEN(INDEX('Packet Builder'!$P$5:$P$34,$L359))))),"ERR")))</f>
        <v/>
      </c>
      <c r="E359" s="21" t="str">
        <f>IF($L359="","",IF($C359&gt;$M359,"End of Frame Delimiter",IFERROR(INDEX(Fields!$B$5:$B$48,MATCH($D359,Fields!$A$5:$A$48,0)),"MISSING")))</f>
        <v/>
      </c>
      <c r="F359" s="22" t="str">
        <f>IF($L359="","",SUMIF($L$5:L359,L359,$G$5:G359)-G359)</f>
        <v/>
      </c>
      <c r="G359" s="22" t="str">
        <f>IF($L359="","",IF($C359&gt;$M359,Overview!$B$26,IFERROR(INDEX(Fields!$F$5:$F$48,MATCH($D359,Fields!$A$5:$A$48,0)),0)))</f>
        <v/>
      </c>
      <c r="H359" s="22" t="str">
        <f t="shared" si="5"/>
        <v/>
      </c>
      <c r="I359" s="21" t="str">
        <f>IF($L359="","",IF($C359&gt;$M359,IF(Overview!$B$26=1,"uint8","uint8["&amp;Overview!$B$26&amp;"]"),IFERROR(INDEX(Fields!$E$5:$E$48,MATCH($D359,Fields!$A$5:$A$48,0)),"MISSING")))</f>
        <v/>
      </c>
      <c r="J359" s="21" t="str">
        <f>IF($L359="","",IF($C359&gt;$M359,"Fixed end-of-frame delimiter, value "&amp;Overview!$B$25&amp;".",IFERROR(INDEX(Fields!$G$5:$G$48,MATCH($D359,Fields!$A$5:$A$48,0)),"MISSING")))</f>
        <v/>
      </c>
      <c r="K359" s="21" t="str">
        <f>IF($L359="","",IF($C359&gt;$M359,"n/a",IFERROR(INDEX(Fields!$H$5:$H$48,MATCH($D359,Fields!$A$5:$A$48,0)),"MISSING")))</f>
        <v/>
      </c>
      <c r="L359" s="23" t="str">
        <f>IF(ROWS($L$5:L359)&gt;MAX('Packet Builder'!$O$5:$O$34),"",COUNTIF('Packet Builder'!$O$5:$O$34,"&lt;"&amp;ROWS($L$5:L359))+1)</f>
        <v/>
      </c>
      <c r="M359" s="23" t="str">
        <f>IF($L359="","",INDEX('Packet Builder'!$F$5:$F$34,$L359))</f>
        <v/>
      </c>
    </row>
    <row r="360" spans="1:13" x14ac:dyDescent="0.35">
      <c r="A360" s="21" t="str">
        <f>IF($L360="","",INDEX('Packet Builder'!$A$5:$A$34,$L360))</f>
        <v/>
      </c>
      <c r="B360" s="21" t="str">
        <f>IF($L360="","",INDEX('Packet Builder'!$B$5:$B$34,$L360))</f>
        <v/>
      </c>
      <c r="C360" s="22" t="str">
        <f>IF($L360="","",ROWS($L$5:L360)-(INDEX('Packet Builder'!$O$5:$O$34,$L360)-$M360-1))</f>
        <v/>
      </c>
      <c r="D360" s="22" t="str">
        <f>IF($L360="","",IF($C360&gt;$M360,"EOF",IFERROR(VALUE(TRIM(MID(SUBSTITUTE(INDEX('Packet Builder'!$P$5:$P$34,$L360),",",REPT(" ",LEN(INDEX('Packet Builder'!$P$5:$P$34,$L360)))),($C360-1)*LEN(INDEX('Packet Builder'!$P$5:$P$34,$L360))+1,LEN(INDEX('Packet Builder'!$P$5:$P$34,$L360))))),"ERR")))</f>
        <v/>
      </c>
      <c r="E360" s="21" t="str">
        <f>IF($L360="","",IF($C360&gt;$M360,"End of Frame Delimiter",IFERROR(INDEX(Fields!$B$5:$B$48,MATCH($D360,Fields!$A$5:$A$48,0)),"MISSING")))</f>
        <v/>
      </c>
      <c r="F360" s="22" t="str">
        <f>IF($L360="","",SUMIF($L$5:L360,L360,$G$5:G360)-G360)</f>
        <v/>
      </c>
      <c r="G360" s="22" t="str">
        <f>IF($L360="","",IF($C360&gt;$M360,Overview!$B$26,IFERROR(INDEX(Fields!$F$5:$F$48,MATCH($D360,Fields!$A$5:$A$48,0)),0)))</f>
        <v/>
      </c>
      <c r="H360" s="22" t="str">
        <f t="shared" si="5"/>
        <v/>
      </c>
      <c r="I360" s="21" t="str">
        <f>IF($L360="","",IF($C360&gt;$M360,IF(Overview!$B$26=1,"uint8","uint8["&amp;Overview!$B$26&amp;"]"),IFERROR(INDEX(Fields!$E$5:$E$48,MATCH($D360,Fields!$A$5:$A$48,0)),"MISSING")))</f>
        <v/>
      </c>
      <c r="J360" s="21" t="str">
        <f>IF($L360="","",IF($C360&gt;$M360,"Fixed end-of-frame delimiter, value "&amp;Overview!$B$25&amp;".",IFERROR(INDEX(Fields!$G$5:$G$48,MATCH($D360,Fields!$A$5:$A$48,0)),"MISSING")))</f>
        <v/>
      </c>
      <c r="K360" s="21" t="str">
        <f>IF($L360="","",IF($C360&gt;$M360,"n/a",IFERROR(INDEX(Fields!$H$5:$H$48,MATCH($D360,Fields!$A$5:$A$48,0)),"MISSING")))</f>
        <v/>
      </c>
      <c r="L360" s="23" t="str">
        <f>IF(ROWS($L$5:L360)&gt;MAX('Packet Builder'!$O$5:$O$34),"",COUNTIF('Packet Builder'!$O$5:$O$34,"&lt;"&amp;ROWS($L$5:L360))+1)</f>
        <v/>
      </c>
      <c r="M360" s="23" t="str">
        <f>IF($L360="","",INDEX('Packet Builder'!$F$5:$F$34,$L360))</f>
        <v/>
      </c>
    </row>
    <row r="361" spans="1:13" x14ac:dyDescent="0.35">
      <c r="A361" s="21" t="str">
        <f>IF($L361="","",INDEX('Packet Builder'!$A$5:$A$34,$L361))</f>
        <v/>
      </c>
      <c r="B361" s="21" t="str">
        <f>IF($L361="","",INDEX('Packet Builder'!$B$5:$B$34,$L361))</f>
        <v/>
      </c>
      <c r="C361" s="22" t="str">
        <f>IF($L361="","",ROWS($L$5:L361)-(INDEX('Packet Builder'!$O$5:$O$34,$L361)-$M361-1))</f>
        <v/>
      </c>
      <c r="D361" s="22" t="str">
        <f>IF($L361="","",IF($C361&gt;$M361,"EOF",IFERROR(VALUE(TRIM(MID(SUBSTITUTE(INDEX('Packet Builder'!$P$5:$P$34,$L361),",",REPT(" ",LEN(INDEX('Packet Builder'!$P$5:$P$34,$L361)))),($C361-1)*LEN(INDEX('Packet Builder'!$P$5:$P$34,$L361))+1,LEN(INDEX('Packet Builder'!$P$5:$P$34,$L361))))),"ERR")))</f>
        <v/>
      </c>
      <c r="E361" s="21" t="str">
        <f>IF($L361="","",IF($C361&gt;$M361,"End of Frame Delimiter",IFERROR(INDEX(Fields!$B$5:$B$48,MATCH($D361,Fields!$A$5:$A$48,0)),"MISSING")))</f>
        <v/>
      </c>
      <c r="F361" s="22" t="str">
        <f>IF($L361="","",SUMIF($L$5:L361,L361,$G$5:G361)-G361)</f>
        <v/>
      </c>
      <c r="G361" s="22" t="str">
        <f>IF($L361="","",IF($C361&gt;$M361,Overview!$B$26,IFERROR(INDEX(Fields!$F$5:$F$48,MATCH($D361,Fields!$A$5:$A$48,0)),0)))</f>
        <v/>
      </c>
      <c r="H361" s="22" t="str">
        <f t="shared" si="5"/>
        <v/>
      </c>
      <c r="I361" s="21" t="str">
        <f>IF($L361="","",IF($C361&gt;$M361,IF(Overview!$B$26=1,"uint8","uint8["&amp;Overview!$B$26&amp;"]"),IFERROR(INDEX(Fields!$E$5:$E$48,MATCH($D361,Fields!$A$5:$A$48,0)),"MISSING")))</f>
        <v/>
      </c>
      <c r="J361" s="21" t="str">
        <f>IF($L361="","",IF($C361&gt;$M361,"Fixed end-of-frame delimiter, value "&amp;Overview!$B$25&amp;".",IFERROR(INDEX(Fields!$G$5:$G$48,MATCH($D361,Fields!$A$5:$A$48,0)),"MISSING")))</f>
        <v/>
      </c>
      <c r="K361" s="21" t="str">
        <f>IF($L361="","",IF($C361&gt;$M361,"n/a",IFERROR(INDEX(Fields!$H$5:$H$48,MATCH($D361,Fields!$A$5:$A$48,0)),"MISSING")))</f>
        <v/>
      </c>
      <c r="L361" s="23" t="str">
        <f>IF(ROWS($L$5:L361)&gt;MAX('Packet Builder'!$O$5:$O$34),"",COUNTIF('Packet Builder'!$O$5:$O$34,"&lt;"&amp;ROWS($L$5:L361))+1)</f>
        <v/>
      </c>
      <c r="M361" s="23" t="str">
        <f>IF($L361="","",INDEX('Packet Builder'!$F$5:$F$34,$L361))</f>
        <v/>
      </c>
    </row>
    <row r="362" spans="1:13" x14ac:dyDescent="0.35">
      <c r="A362" s="21" t="str">
        <f>IF($L362="","",INDEX('Packet Builder'!$A$5:$A$34,$L362))</f>
        <v/>
      </c>
      <c r="B362" s="21" t="str">
        <f>IF($L362="","",INDEX('Packet Builder'!$B$5:$B$34,$L362))</f>
        <v/>
      </c>
      <c r="C362" s="22" t="str">
        <f>IF($L362="","",ROWS($L$5:L362)-(INDEX('Packet Builder'!$O$5:$O$34,$L362)-$M362-1))</f>
        <v/>
      </c>
      <c r="D362" s="22" t="str">
        <f>IF($L362="","",IF($C362&gt;$M362,"EOF",IFERROR(VALUE(TRIM(MID(SUBSTITUTE(INDEX('Packet Builder'!$P$5:$P$34,$L362),",",REPT(" ",LEN(INDEX('Packet Builder'!$P$5:$P$34,$L362)))),($C362-1)*LEN(INDEX('Packet Builder'!$P$5:$P$34,$L362))+1,LEN(INDEX('Packet Builder'!$P$5:$P$34,$L362))))),"ERR")))</f>
        <v/>
      </c>
      <c r="E362" s="21" t="str">
        <f>IF($L362="","",IF($C362&gt;$M362,"End of Frame Delimiter",IFERROR(INDEX(Fields!$B$5:$B$48,MATCH($D362,Fields!$A$5:$A$48,0)),"MISSING")))</f>
        <v/>
      </c>
      <c r="F362" s="22" t="str">
        <f>IF($L362="","",SUMIF($L$5:L362,L362,$G$5:G362)-G362)</f>
        <v/>
      </c>
      <c r="G362" s="22" t="str">
        <f>IF($L362="","",IF($C362&gt;$M362,Overview!$B$26,IFERROR(INDEX(Fields!$F$5:$F$48,MATCH($D362,Fields!$A$5:$A$48,0)),0)))</f>
        <v/>
      </c>
      <c r="H362" s="22" t="str">
        <f t="shared" si="5"/>
        <v/>
      </c>
      <c r="I362" s="21" t="str">
        <f>IF($L362="","",IF($C362&gt;$M362,IF(Overview!$B$26=1,"uint8","uint8["&amp;Overview!$B$26&amp;"]"),IFERROR(INDEX(Fields!$E$5:$E$48,MATCH($D362,Fields!$A$5:$A$48,0)),"MISSING")))</f>
        <v/>
      </c>
      <c r="J362" s="21" t="str">
        <f>IF($L362="","",IF($C362&gt;$M362,"Fixed end-of-frame delimiter, value "&amp;Overview!$B$25&amp;".",IFERROR(INDEX(Fields!$G$5:$G$48,MATCH($D362,Fields!$A$5:$A$48,0)),"MISSING")))</f>
        <v/>
      </c>
      <c r="K362" s="21" t="str">
        <f>IF($L362="","",IF($C362&gt;$M362,"n/a",IFERROR(INDEX(Fields!$H$5:$H$48,MATCH($D362,Fields!$A$5:$A$48,0)),"MISSING")))</f>
        <v/>
      </c>
      <c r="L362" s="23" t="str">
        <f>IF(ROWS($L$5:L362)&gt;MAX('Packet Builder'!$O$5:$O$34),"",COUNTIF('Packet Builder'!$O$5:$O$34,"&lt;"&amp;ROWS($L$5:L362))+1)</f>
        <v/>
      </c>
      <c r="M362" s="23" t="str">
        <f>IF($L362="","",INDEX('Packet Builder'!$F$5:$F$34,$L362))</f>
        <v/>
      </c>
    </row>
    <row r="363" spans="1:13" x14ac:dyDescent="0.35">
      <c r="A363" s="21" t="str">
        <f>IF($L363="","",INDEX('Packet Builder'!$A$5:$A$34,$L363))</f>
        <v/>
      </c>
      <c r="B363" s="21" t="str">
        <f>IF($L363="","",INDEX('Packet Builder'!$B$5:$B$34,$L363))</f>
        <v/>
      </c>
      <c r="C363" s="22" t="str">
        <f>IF($L363="","",ROWS($L$5:L363)-(INDEX('Packet Builder'!$O$5:$O$34,$L363)-$M363-1))</f>
        <v/>
      </c>
      <c r="D363" s="22" t="str">
        <f>IF($L363="","",IF($C363&gt;$M363,"EOF",IFERROR(VALUE(TRIM(MID(SUBSTITUTE(INDEX('Packet Builder'!$P$5:$P$34,$L363),",",REPT(" ",LEN(INDEX('Packet Builder'!$P$5:$P$34,$L363)))),($C363-1)*LEN(INDEX('Packet Builder'!$P$5:$P$34,$L363))+1,LEN(INDEX('Packet Builder'!$P$5:$P$34,$L363))))),"ERR")))</f>
        <v/>
      </c>
      <c r="E363" s="21" t="str">
        <f>IF($L363="","",IF($C363&gt;$M363,"End of Frame Delimiter",IFERROR(INDEX(Fields!$B$5:$B$48,MATCH($D363,Fields!$A$5:$A$48,0)),"MISSING")))</f>
        <v/>
      </c>
      <c r="F363" s="22" t="str">
        <f>IF($L363="","",SUMIF($L$5:L363,L363,$G$5:G363)-G363)</f>
        <v/>
      </c>
      <c r="G363" s="22" t="str">
        <f>IF($L363="","",IF($C363&gt;$M363,Overview!$B$26,IFERROR(INDEX(Fields!$F$5:$F$48,MATCH($D363,Fields!$A$5:$A$48,0)),0)))</f>
        <v/>
      </c>
      <c r="H363" s="22" t="str">
        <f t="shared" si="5"/>
        <v/>
      </c>
      <c r="I363" s="21" t="str">
        <f>IF($L363="","",IF($C363&gt;$M363,IF(Overview!$B$26=1,"uint8","uint8["&amp;Overview!$B$26&amp;"]"),IFERROR(INDEX(Fields!$E$5:$E$48,MATCH($D363,Fields!$A$5:$A$48,0)),"MISSING")))</f>
        <v/>
      </c>
      <c r="J363" s="21" t="str">
        <f>IF($L363="","",IF($C363&gt;$M363,"Fixed end-of-frame delimiter, value "&amp;Overview!$B$25&amp;".",IFERROR(INDEX(Fields!$G$5:$G$48,MATCH($D363,Fields!$A$5:$A$48,0)),"MISSING")))</f>
        <v/>
      </c>
      <c r="K363" s="21" t="str">
        <f>IF($L363="","",IF($C363&gt;$M363,"n/a",IFERROR(INDEX(Fields!$H$5:$H$48,MATCH($D363,Fields!$A$5:$A$48,0)),"MISSING")))</f>
        <v/>
      </c>
      <c r="L363" s="23" t="str">
        <f>IF(ROWS($L$5:L363)&gt;MAX('Packet Builder'!$O$5:$O$34),"",COUNTIF('Packet Builder'!$O$5:$O$34,"&lt;"&amp;ROWS($L$5:L363))+1)</f>
        <v/>
      </c>
      <c r="M363" s="23" t="str">
        <f>IF($L363="","",INDEX('Packet Builder'!$F$5:$F$34,$L363))</f>
        <v/>
      </c>
    </row>
    <row r="364" spans="1:13" x14ac:dyDescent="0.35">
      <c r="A364" s="21" t="str">
        <f>IF($L364="","",INDEX('Packet Builder'!$A$5:$A$34,$L364))</f>
        <v/>
      </c>
      <c r="B364" s="21" t="str">
        <f>IF($L364="","",INDEX('Packet Builder'!$B$5:$B$34,$L364))</f>
        <v/>
      </c>
      <c r="C364" s="22" t="str">
        <f>IF($L364="","",ROWS($L$5:L364)-(INDEX('Packet Builder'!$O$5:$O$34,$L364)-$M364-1))</f>
        <v/>
      </c>
      <c r="D364" s="22" t="str">
        <f>IF($L364="","",IF($C364&gt;$M364,"EOF",IFERROR(VALUE(TRIM(MID(SUBSTITUTE(INDEX('Packet Builder'!$P$5:$P$34,$L364),",",REPT(" ",LEN(INDEX('Packet Builder'!$P$5:$P$34,$L364)))),($C364-1)*LEN(INDEX('Packet Builder'!$P$5:$P$34,$L364))+1,LEN(INDEX('Packet Builder'!$P$5:$P$34,$L364))))),"ERR")))</f>
        <v/>
      </c>
      <c r="E364" s="21" t="str">
        <f>IF($L364="","",IF($C364&gt;$M364,"End of Frame Delimiter",IFERROR(INDEX(Fields!$B$5:$B$48,MATCH($D364,Fields!$A$5:$A$48,0)),"MISSING")))</f>
        <v/>
      </c>
      <c r="F364" s="22" t="str">
        <f>IF($L364="","",SUMIF($L$5:L364,L364,$G$5:G364)-G364)</f>
        <v/>
      </c>
      <c r="G364" s="22" t="str">
        <f>IF($L364="","",IF($C364&gt;$M364,Overview!$B$26,IFERROR(INDEX(Fields!$F$5:$F$48,MATCH($D364,Fields!$A$5:$A$48,0)),0)))</f>
        <v/>
      </c>
      <c r="H364" s="22" t="str">
        <f t="shared" si="5"/>
        <v/>
      </c>
      <c r="I364" s="21" t="str">
        <f>IF($L364="","",IF($C364&gt;$M364,IF(Overview!$B$26=1,"uint8","uint8["&amp;Overview!$B$26&amp;"]"),IFERROR(INDEX(Fields!$E$5:$E$48,MATCH($D364,Fields!$A$5:$A$48,0)),"MISSING")))</f>
        <v/>
      </c>
      <c r="J364" s="21" t="str">
        <f>IF($L364="","",IF($C364&gt;$M364,"Fixed end-of-frame delimiter, value "&amp;Overview!$B$25&amp;".",IFERROR(INDEX(Fields!$G$5:$G$48,MATCH($D364,Fields!$A$5:$A$48,0)),"MISSING")))</f>
        <v/>
      </c>
      <c r="K364" s="21" t="str">
        <f>IF($L364="","",IF($C364&gt;$M364,"n/a",IFERROR(INDEX(Fields!$H$5:$H$48,MATCH($D364,Fields!$A$5:$A$48,0)),"MISSING")))</f>
        <v/>
      </c>
      <c r="L364" s="23" t="str">
        <f>IF(ROWS($L$5:L364)&gt;MAX('Packet Builder'!$O$5:$O$34),"",COUNTIF('Packet Builder'!$O$5:$O$34,"&lt;"&amp;ROWS($L$5:L364))+1)</f>
        <v/>
      </c>
      <c r="M364" s="23" t="str">
        <f>IF($L364="","",INDEX('Packet Builder'!$F$5:$F$34,$L364))</f>
        <v/>
      </c>
    </row>
    <row r="365" spans="1:13" x14ac:dyDescent="0.35">
      <c r="A365" s="21" t="str">
        <f>IF($L365="","",INDEX('Packet Builder'!$A$5:$A$34,$L365))</f>
        <v/>
      </c>
      <c r="B365" s="21" t="str">
        <f>IF($L365="","",INDEX('Packet Builder'!$B$5:$B$34,$L365))</f>
        <v/>
      </c>
      <c r="C365" s="22" t="str">
        <f>IF($L365="","",ROWS($L$5:L365)-(INDEX('Packet Builder'!$O$5:$O$34,$L365)-$M365-1))</f>
        <v/>
      </c>
      <c r="D365" s="22" t="str">
        <f>IF($L365="","",IF($C365&gt;$M365,"EOF",IFERROR(VALUE(TRIM(MID(SUBSTITUTE(INDEX('Packet Builder'!$P$5:$P$34,$L365),",",REPT(" ",LEN(INDEX('Packet Builder'!$P$5:$P$34,$L365)))),($C365-1)*LEN(INDEX('Packet Builder'!$P$5:$P$34,$L365))+1,LEN(INDEX('Packet Builder'!$P$5:$P$34,$L365))))),"ERR")))</f>
        <v/>
      </c>
      <c r="E365" s="21" t="str">
        <f>IF($L365="","",IF($C365&gt;$M365,"End of Frame Delimiter",IFERROR(INDEX(Fields!$B$5:$B$48,MATCH($D365,Fields!$A$5:$A$48,0)),"MISSING")))</f>
        <v/>
      </c>
      <c r="F365" s="22" t="str">
        <f>IF($L365="","",SUMIF($L$5:L365,L365,$G$5:G365)-G365)</f>
        <v/>
      </c>
      <c r="G365" s="22" t="str">
        <f>IF($L365="","",IF($C365&gt;$M365,Overview!$B$26,IFERROR(INDEX(Fields!$F$5:$F$48,MATCH($D365,Fields!$A$5:$A$48,0)),0)))</f>
        <v/>
      </c>
      <c r="H365" s="22" t="str">
        <f t="shared" si="5"/>
        <v/>
      </c>
      <c r="I365" s="21" t="str">
        <f>IF($L365="","",IF($C365&gt;$M365,IF(Overview!$B$26=1,"uint8","uint8["&amp;Overview!$B$26&amp;"]"),IFERROR(INDEX(Fields!$E$5:$E$48,MATCH($D365,Fields!$A$5:$A$48,0)),"MISSING")))</f>
        <v/>
      </c>
      <c r="J365" s="21" t="str">
        <f>IF($L365="","",IF($C365&gt;$M365,"Fixed end-of-frame delimiter, value "&amp;Overview!$B$25&amp;".",IFERROR(INDEX(Fields!$G$5:$G$48,MATCH($D365,Fields!$A$5:$A$48,0)),"MISSING")))</f>
        <v/>
      </c>
      <c r="K365" s="21" t="str">
        <f>IF($L365="","",IF($C365&gt;$M365,"n/a",IFERROR(INDEX(Fields!$H$5:$H$48,MATCH($D365,Fields!$A$5:$A$48,0)),"MISSING")))</f>
        <v/>
      </c>
      <c r="L365" s="23" t="str">
        <f>IF(ROWS($L$5:L365)&gt;MAX('Packet Builder'!$O$5:$O$34),"",COUNTIF('Packet Builder'!$O$5:$O$34,"&lt;"&amp;ROWS($L$5:L365))+1)</f>
        <v/>
      </c>
      <c r="M365" s="23" t="str">
        <f>IF($L365="","",INDEX('Packet Builder'!$F$5:$F$34,$L365))</f>
        <v/>
      </c>
    </row>
    <row r="366" spans="1:13" x14ac:dyDescent="0.35">
      <c r="A366" s="21" t="str">
        <f>IF($L366="","",INDEX('Packet Builder'!$A$5:$A$34,$L366))</f>
        <v/>
      </c>
      <c r="B366" s="21" t="str">
        <f>IF($L366="","",INDEX('Packet Builder'!$B$5:$B$34,$L366))</f>
        <v/>
      </c>
      <c r="C366" s="22" t="str">
        <f>IF($L366="","",ROWS($L$5:L366)-(INDEX('Packet Builder'!$O$5:$O$34,$L366)-$M366-1))</f>
        <v/>
      </c>
      <c r="D366" s="22" t="str">
        <f>IF($L366="","",IF($C366&gt;$M366,"EOF",IFERROR(VALUE(TRIM(MID(SUBSTITUTE(INDEX('Packet Builder'!$P$5:$P$34,$L366),",",REPT(" ",LEN(INDEX('Packet Builder'!$P$5:$P$34,$L366)))),($C366-1)*LEN(INDEX('Packet Builder'!$P$5:$P$34,$L366))+1,LEN(INDEX('Packet Builder'!$P$5:$P$34,$L366))))),"ERR")))</f>
        <v/>
      </c>
      <c r="E366" s="21" t="str">
        <f>IF($L366="","",IF($C366&gt;$M366,"End of Frame Delimiter",IFERROR(INDEX(Fields!$B$5:$B$48,MATCH($D366,Fields!$A$5:$A$48,0)),"MISSING")))</f>
        <v/>
      </c>
      <c r="F366" s="22" t="str">
        <f>IF($L366="","",SUMIF($L$5:L366,L366,$G$5:G366)-G366)</f>
        <v/>
      </c>
      <c r="G366" s="22" t="str">
        <f>IF($L366="","",IF($C366&gt;$M366,Overview!$B$26,IFERROR(INDEX(Fields!$F$5:$F$48,MATCH($D366,Fields!$A$5:$A$48,0)),0)))</f>
        <v/>
      </c>
      <c r="H366" s="22" t="str">
        <f t="shared" si="5"/>
        <v/>
      </c>
      <c r="I366" s="21" t="str">
        <f>IF($L366="","",IF($C366&gt;$M366,IF(Overview!$B$26=1,"uint8","uint8["&amp;Overview!$B$26&amp;"]"),IFERROR(INDEX(Fields!$E$5:$E$48,MATCH($D366,Fields!$A$5:$A$48,0)),"MISSING")))</f>
        <v/>
      </c>
      <c r="J366" s="21" t="str">
        <f>IF($L366="","",IF($C366&gt;$M366,"Fixed end-of-frame delimiter, value "&amp;Overview!$B$25&amp;".",IFERROR(INDEX(Fields!$G$5:$G$48,MATCH($D366,Fields!$A$5:$A$48,0)),"MISSING")))</f>
        <v/>
      </c>
      <c r="K366" s="21" t="str">
        <f>IF($L366="","",IF($C366&gt;$M366,"n/a",IFERROR(INDEX(Fields!$H$5:$H$48,MATCH($D366,Fields!$A$5:$A$48,0)),"MISSING")))</f>
        <v/>
      </c>
      <c r="L366" s="23" t="str">
        <f>IF(ROWS($L$5:L366)&gt;MAX('Packet Builder'!$O$5:$O$34),"",COUNTIF('Packet Builder'!$O$5:$O$34,"&lt;"&amp;ROWS($L$5:L366))+1)</f>
        <v/>
      </c>
      <c r="M366" s="23" t="str">
        <f>IF($L366="","",INDEX('Packet Builder'!$F$5:$F$34,$L366))</f>
        <v/>
      </c>
    </row>
    <row r="367" spans="1:13" x14ac:dyDescent="0.35">
      <c r="A367" s="21" t="str">
        <f>IF($L367="","",INDEX('Packet Builder'!$A$5:$A$34,$L367))</f>
        <v/>
      </c>
      <c r="B367" s="21" t="str">
        <f>IF($L367="","",INDEX('Packet Builder'!$B$5:$B$34,$L367))</f>
        <v/>
      </c>
      <c r="C367" s="22" t="str">
        <f>IF($L367="","",ROWS($L$5:L367)-(INDEX('Packet Builder'!$O$5:$O$34,$L367)-$M367-1))</f>
        <v/>
      </c>
      <c r="D367" s="22" t="str">
        <f>IF($L367="","",IF($C367&gt;$M367,"EOF",IFERROR(VALUE(TRIM(MID(SUBSTITUTE(INDEX('Packet Builder'!$P$5:$P$34,$L367),",",REPT(" ",LEN(INDEX('Packet Builder'!$P$5:$P$34,$L367)))),($C367-1)*LEN(INDEX('Packet Builder'!$P$5:$P$34,$L367))+1,LEN(INDEX('Packet Builder'!$P$5:$P$34,$L367))))),"ERR")))</f>
        <v/>
      </c>
      <c r="E367" s="21" t="str">
        <f>IF($L367="","",IF($C367&gt;$M367,"End of Frame Delimiter",IFERROR(INDEX(Fields!$B$5:$B$48,MATCH($D367,Fields!$A$5:$A$48,0)),"MISSING")))</f>
        <v/>
      </c>
      <c r="F367" s="22" t="str">
        <f>IF($L367="","",SUMIF($L$5:L367,L367,$G$5:G367)-G367)</f>
        <v/>
      </c>
      <c r="G367" s="22" t="str">
        <f>IF($L367="","",IF($C367&gt;$M367,Overview!$B$26,IFERROR(INDEX(Fields!$F$5:$F$48,MATCH($D367,Fields!$A$5:$A$48,0)),0)))</f>
        <v/>
      </c>
      <c r="H367" s="22" t="str">
        <f t="shared" si="5"/>
        <v/>
      </c>
      <c r="I367" s="21" t="str">
        <f>IF($L367="","",IF($C367&gt;$M367,IF(Overview!$B$26=1,"uint8","uint8["&amp;Overview!$B$26&amp;"]"),IFERROR(INDEX(Fields!$E$5:$E$48,MATCH($D367,Fields!$A$5:$A$48,0)),"MISSING")))</f>
        <v/>
      </c>
      <c r="J367" s="21" t="str">
        <f>IF($L367="","",IF($C367&gt;$M367,"Fixed end-of-frame delimiter, value "&amp;Overview!$B$25&amp;".",IFERROR(INDEX(Fields!$G$5:$G$48,MATCH($D367,Fields!$A$5:$A$48,0)),"MISSING")))</f>
        <v/>
      </c>
      <c r="K367" s="21" t="str">
        <f>IF($L367="","",IF($C367&gt;$M367,"n/a",IFERROR(INDEX(Fields!$H$5:$H$48,MATCH($D367,Fields!$A$5:$A$48,0)),"MISSING")))</f>
        <v/>
      </c>
      <c r="L367" s="23" t="str">
        <f>IF(ROWS($L$5:L367)&gt;MAX('Packet Builder'!$O$5:$O$34),"",COUNTIF('Packet Builder'!$O$5:$O$34,"&lt;"&amp;ROWS($L$5:L367))+1)</f>
        <v/>
      </c>
      <c r="M367" s="23" t="str">
        <f>IF($L367="","",INDEX('Packet Builder'!$F$5:$F$34,$L367))</f>
        <v/>
      </c>
    </row>
    <row r="368" spans="1:13" x14ac:dyDescent="0.35">
      <c r="A368" s="21" t="str">
        <f>IF($L368="","",INDEX('Packet Builder'!$A$5:$A$34,$L368))</f>
        <v/>
      </c>
      <c r="B368" s="21" t="str">
        <f>IF($L368="","",INDEX('Packet Builder'!$B$5:$B$34,$L368))</f>
        <v/>
      </c>
      <c r="C368" s="22" t="str">
        <f>IF($L368="","",ROWS($L$5:L368)-(INDEX('Packet Builder'!$O$5:$O$34,$L368)-$M368-1))</f>
        <v/>
      </c>
      <c r="D368" s="22" t="str">
        <f>IF($L368="","",IF($C368&gt;$M368,"EOF",IFERROR(VALUE(TRIM(MID(SUBSTITUTE(INDEX('Packet Builder'!$P$5:$P$34,$L368),",",REPT(" ",LEN(INDEX('Packet Builder'!$P$5:$P$34,$L368)))),($C368-1)*LEN(INDEX('Packet Builder'!$P$5:$P$34,$L368))+1,LEN(INDEX('Packet Builder'!$P$5:$P$34,$L368))))),"ERR")))</f>
        <v/>
      </c>
      <c r="E368" s="21" t="str">
        <f>IF($L368="","",IF($C368&gt;$M368,"End of Frame Delimiter",IFERROR(INDEX(Fields!$B$5:$B$48,MATCH($D368,Fields!$A$5:$A$48,0)),"MISSING")))</f>
        <v/>
      </c>
      <c r="F368" s="22" t="str">
        <f>IF($L368="","",SUMIF($L$5:L368,L368,$G$5:G368)-G368)</f>
        <v/>
      </c>
      <c r="G368" s="22" t="str">
        <f>IF($L368="","",IF($C368&gt;$M368,Overview!$B$26,IFERROR(INDEX(Fields!$F$5:$F$48,MATCH($D368,Fields!$A$5:$A$48,0)),0)))</f>
        <v/>
      </c>
      <c r="H368" s="22" t="str">
        <f t="shared" si="5"/>
        <v/>
      </c>
      <c r="I368" s="21" t="str">
        <f>IF($L368="","",IF($C368&gt;$M368,IF(Overview!$B$26=1,"uint8","uint8["&amp;Overview!$B$26&amp;"]"),IFERROR(INDEX(Fields!$E$5:$E$48,MATCH($D368,Fields!$A$5:$A$48,0)),"MISSING")))</f>
        <v/>
      </c>
      <c r="J368" s="21" t="str">
        <f>IF($L368="","",IF($C368&gt;$M368,"Fixed end-of-frame delimiter, value "&amp;Overview!$B$25&amp;".",IFERROR(INDEX(Fields!$G$5:$G$48,MATCH($D368,Fields!$A$5:$A$48,0)),"MISSING")))</f>
        <v/>
      </c>
      <c r="K368" s="21" t="str">
        <f>IF($L368="","",IF($C368&gt;$M368,"n/a",IFERROR(INDEX(Fields!$H$5:$H$48,MATCH($D368,Fields!$A$5:$A$48,0)),"MISSING")))</f>
        <v/>
      </c>
      <c r="L368" s="23" t="str">
        <f>IF(ROWS($L$5:L368)&gt;MAX('Packet Builder'!$O$5:$O$34),"",COUNTIF('Packet Builder'!$O$5:$O$34,"&lt;"&amp;ROWS($L$5:L368))+1)</f>
        <v/>
      </c>
      <c r="M368" s="23" t="str">
        <f>IF($L368="","",INDEX('Packet Builder'!$F$5:$F$34,$L368))</f>
        <v/>
      </c>
    </row>
    <row r="369" spans="1:13" x14ac:dyDescent="0.35">
      <c r="A369" s="21" t="str">
        <f>IF($L369="","",INDEX('Packet Builder'!$A$5:$A$34,$L369))</f>
        <v/>
      </c>
      <c r="B369" s="21" t="str">
        <f>IF($L369="","",INDEX('Packet Builder'!$B$5:$B$34,$L369))</f>
        <v/>
      </c>
      <c r="C369" s="22" t="str">
        <f>IF($L369="","",ROWS($L$5:L369)-(INDEX('Packet Builder'!$O$5:$O$34,$L369)-$M369-1))</f>
        <v/>
      </c>
      <c r="D369" s="22" t="str">
        <f>IF($L369="","",IF($C369&gt;$M369,"EOF",IFERROR(VALUE(TRIM(MID(SUBSTITUTE(INDEX('Packet Builder'!$P$5:$P$34,$L369),",",REPT(" ",LEN(INDEX('Packet Builder'!$P$5:$P$34,$L369)))),($C369-1)*LEN(INDEX('Packet Builder'!$P$5:$P$34,$L369))+1,LEN(INDEX('Packet Builder'!$P$5:$P$34,$L369))))),"ERR")))</f>
        <v/>
      </c>
      <c r="E369" s="21" t="str">
        <f>IF($L369="","",IF($C369&gt;$M369,"End of Frame Delimiter",IFERROR(INDEX(Fields!$B$5:$B$48,MATCH($D369,Fields!$A$5:$A$48,0)),"MISSING")))</f>
        <v/>
      </c>
      <c r="F369" s="22" t="str">
        <f>IF($L369="","",SUMIF($L$5:L369,L369,$G$5:G369)-G369)</f>
        <v/>
      </c>
      <c r="G369" s="22" t="str">
        <f>IF($L369="","",IF($C369&gt;$M369,Overview!$B$26,IFERROR(INDEX(Fields!$F$5:$F$48,MATCH($D369,Fields!$A$5:$A$48,0)),0)))</f>
        <v/>
      </c>
      <c r="H369" s="22" t="str">
        <f t="shared" si="5"/>
        <v/>
      </c>
      <c r="I369" s="21" t="str">
        <f>IF($L369="","",IF($C369&gt;$M369,IF(Overview!$B$26=1,"uint8","uint8["&amp;Overview!$B$26&amp;"]"),IFERROR(INDEX(Fields!$E$5:$E$48,MATCH($D369,Fields!$A$5:$A$48,0)),"MISSING")))</f>
        <v/>
      </c>
      <c r="J369" s="21" t="str">
        <f>IF($L369="","",IF($C369&gt;$M369,"Fixed end-of-frame delimiter, value "&amp;Overview!$B$25&amp;".",IFERROR(INDEX(Fields!$G$5:$G$48,MATCH($D369,Fields!$A$5:$A$48,0)),"MISSING")))</f>
        <v/>
      </c>
      <c r="K369" s="21" t="str">
        <f>IF($L369="","",IF($C369&gt;$M369,"n/a",IFERROR(INDEX(Fields!$H$5:$H$48,MATCH($D369,Fields!$A$5:$A$48,0)),"MISSING")))</f>
        <v/>
      </c>
      <c r="L369" s="23" t="str">
        <f>IF(ROWS($L$5:L369)&gt;MAX('Packet Builder'!$O$5:$O$34),"",COUNTIF('Packet Builder'!$O$5:$O$34,"&lt;"&amp;ROWS($L$5:L369))+1)</f>
        <v/>
      </c>
      <c r="M369" s="23" t="str">
        <f>IF($L369="","",INDEX('Packet Builder'!$F$5:$F$34,$L369))</f>
        <v/>
      </c>
    </row>
    <row r="370" spans="1:13" x14ac:dyDescent="0.35">
      <c r="A370" s="21" t="str">
        <f>IF($L370="","",INDEX('Packet Builder'!$A$5:$A$34,$L370))</f>
        <v/>
      </c>
      <c r="B370" s="21" t="str">
        <f>IF($L370="","",INDEX('Packet Builder'!$B$5:$B$34,$L370))</f>
        <v/>
      </c>
      <c r="C370" s="22" t="str">
        <f>IF($L370="","",ROWS($L$5:L370)-(INDEX('Packet Builder'!$O$5:$O$34,$L370)-$M370-1))</f>
        <v/>
      </c>
      <c r="D370" s="22" t="str">
        <f>IF($L370="","",IF($C370&gt;$M370,"EOF",IFERROR(VALUE(TRIM(MID(SUBSTITUTE(INDEX('Packet Builder'!$P$5:$P$34,$L370),",",REPT(" ",LEN(INDEX('Packet Builder'!$P$5:$P$34,$L370)))),($C370-1)*LEN(INDEX('Packet Builder'!$P$5:$P$34,$L370))+1,LEN(INDEX('Packet Builder'!$P$5:$P$34,$L370))))),"ERR")))</f>
        <v/>
      </c>
      <c r="E370" s="21" t="str">
        <f>IF($L370="","",IF($C370&gt;$M370,"End of Frame Delimiter",IFERROR(INDEX(Fields!$B$5:$B$48,MATCH($D370,Fields!$A$5:$A$48,0)),"MISSING")))</f>
        <v/>
      </c>
      <c r="F370" s="22" t="str">
        <f>IF($L370="","",SUMIF($L$5:L370,L370,$G$5:G370)-G370)</f>
        <v/>
      </c>
      <c r="G370" s="22" t="str">
        <f>IF($L370="","",IF($C370&gt;$M370,Overview!$B$26,IFERROR(INDEX(Fields!$F$5:$F$48,MATCH($D370,Fields!$A$5:$A$48,0)),0)))</f>
        <v/>
      </c>
      <c r="H370" s="22" t="str">
        <f t="shared" si="5"/>
        <v/>
      </c>
      <c r="I370" s="21" t="str">
        <f>IF($L370="","",IF($C370&gt;$M370,IF(Overview!$B$26=1,"uint8","uint8["&amp;Overview!$B$26&amp;"]"),IFERROR(INDEX(Fields!$E$5:$E$48,MATCH($D370,Fields!$A$5:$A$48,0)),"MISSING")))</f>
        <v/>
      </c>
      <c r="J370" s="21" t="str">
        <f>IF($L370="","",IF($C370&gt;$M370,"Fixed end-of-frame delimiter, value "&amp;Overview!$B$25&amp;".",IFERROR(INDEX(Fields!$G$5:$G$48,MATCH($D370,Fields!$A$5:$A$48,0)),"MISSING")))</f>
        <v/>
      </c>
      <c r="K370" s="21" t="str">
        <f>IF($L370="","",IF($C370&gt;$M370,"n/a",IFERROR(INDEX(Fields!$H$5:$H$48,MATCH($D370,Fields!$A$5:$A$48,0)),"MISSING")))</f>
        <v/>
      </c>
      <c r="L370" s="23" t="str">
        <f>IF(ROWS($L$5:L370)&gt;MAX('Packet Builder'!$O$5:$O$34),"",COUNTIF('Packet Builder'!$O$5:$O$34,"&lt;"&amp;ROWS($L$5:L370))+1)</f>
        <v/>
      </c>
      <c r="M370" s="23" t="str">
        <f>IF($L370="","",INDEX('Packet Builder'!$F$5:$F$34,$L370))</f>
        <v/>
      </c>
    </row>
    <row r="371" spans="1:13" x14ac:dyDescent="0.35">
      <c r="A371" s="21" t="str">
        <f>IF($L371="","",INDEX('Packet Builder'!$A$5:$A$34,$L371))</f>
        <v/>
      </c>
      <c r="B371" s="21" t="str">
        <f>IF($L371="","",INDEX('Packet Builder'!$B$5:$B$34,$L371))</f>
        <v/>
      </c>
      <c r="C371" s="22" t="str">
        <f>IF($L371="","",ROWS($L$5:L371)-(INDEX('Packet Builder'!$O$5:$O$34,$L371)-$M371-1))</f>
        <v/>
      </c>
      <c r="D371" s="22" t="str">
        <f>IF($L371="","",IF($C371&gt;$M371,"EOF",IFERROR(VALUE(TRIM(MID(SUBSTITUTE(INDEX('Packet Builder'!$P$5:$P$34,$L371),",",REPT(" ",LEN(INDEX('Packet Builder'!$P$5:$P$34,$L371)))),($C371-1)*LEN(INDEX('Packet Builder'!$P$5:$P$34,$L371))+1,LEN(INDEX('Packet Builder'!$P$5:$P$34,$L371))))),"ERR")))</f>
        <v/>
      </c>
      <c r="E371" s="21" t="str">
        <f>IF($L371="","",IF($C371&gt;$M371,"End of Frame Delimiter",IFERROR(INDEX(Fields!$B$5:$B$48,MATCH($D371,Fields!$A$5:$A$48,0)),"MISSING")))</f>
        <v/>
      </c>
      <c r="F371" s="22" t="str">
        <f>IF($L371="","",SUMIF($L$5:L371,L371,$G$5:G371)-G371)</f>
        <v/>
      </c>
      <c r="G371" s="22" t="str">
        <f>IF($L371="","",IF($C371&gt;$M371,Overview!$B$26,IFERROR(INDEX(Fields!$F$5:$F$48,MATCH($D371,Fields!$A$5:$A$48,0)),0)))</f>
        <v/>
      </c>
      <c r="H371" s="22" t="str">
        <f t="shared" si="5"/>
        <v/>
      </c>
      <c r="I371" s="21" t="str">
        <f>IF($L371="","",IF($C371&gt;$M371,IF(Overview!$B$26=1,"uint8","uint8["&amp;Overview!$B$26&amp;"]"),IFERROR(INDEX(Fields!$E$5:$E$48,MATCH($D371,Fields!$A$5:$A$48,0)),"MISSING")))</f>
        <v/>
      </c>
      <c r="J371" s="21" t="str">
        <f>IF($L371="","",IF($C371&gt;$M371,"Fixed end-of-frame delimiter, value "&amp;Overview!$B$25&amp;".",IFERROR(INDEX(Fields!$G$5:$G$48,MATCH($D371,Fields!$A$5:$A$48,0)),"MISSING")))</f>
        <v/>
      </c>
      <c r="K371" s="21" t="str">
        <f>IF($L371="","",IF($C371&gt;$M371,"n/a",IFERROR(INDEX(Fields!$H$5:$H$48,MATCH($D371,Fields!$A$5:$A$48,0)),"MISSING")))</f>
        <v/>
      </c>
      <c r="L371" s="23" t="str">
        <f>IF(ROWS($L$5:L371)&gt;MAX('Packet Builder'!$O$5:$O$34),"",COUNTIF('Packet Builder'!$O$5:$O$34,"&lt;"&amp;ROWS($L$5:L371))+1)</f>
        <v/>
      </c>
      <c r="M371" s="23" t="str">
        <f>IF($L371="","",INDEX('Packet Builder'!$F$5:$F$34,$L371))</f>
        <v/>
      </c>
    </row>
    <row r="372" spans="1:13" x14ac:dyDescent="0.35">
      <c r="A372" s="21" t="str">
        <f>IF($L372="","",INDEX('Packet Builder'!$A$5:$A$34,$L372))</f>
        <v/>
      </c>
      <c r="B372" s="21" t="str">
        <f>IF($L372="","",INDEX('Packet Builder'!$B$5:$B$34,$L372))</f>
        <v/>
      </c>
      <c r="C372" s="22" t="str">
        <f>IF($L372="","",ROWS($L$5:L372)-(INDEX('Packet Builder'!$O$5:$O$34,$L372)-$M372-1))</f>
        <v/>
      </c>
      <c r="D372" s="22" t="str">
        <f>IF($L372="","",IF($C372&gt;$M372,"EOF",IFERROR(VALUE(TRIM(MID(SUBSTITUTE(INDEX('Packet Builder'!$P$5:$P$34,$L372),",",REPT(" ",LEN(INDEX('Packet Builder'!$P$5:$P$34,$L372)))),($C372-1)*LEN(INDEX('Packet Builder'!$P$5:$P$34,$L372))+1,LEN(INDEX('Packet Builder'!$P$5:$P$34,$L372))))),"ERR")))</f>
        <v/>
      </c>
      <c r="E372" s="21" t="str">
        <f>IF($L372="","",IF($C372&gt;$M372,"End of Frame Delimiter",IFERROR(INDEX(Fields!$B$5:$B$48,MATCH($D372,Fields!$A$5:$A$48,0)),"MISSING")))</f>
        <v/>
      </c>
      <c r="F372" s="22" t="str">
        <f>IF($L372="","",SUMIF($L$5:L372,L372,$G$5:G372)-G372)</f>
        <v/>
      </c>
      <c r="G372" s="22" t="str">
        <f>IF($L372="","",IF($C372&gt;$M372,Overview!$B$26,IFERROR(INDEX(Fields!$F$5:$F$48,MATCH($D372,Fields!$A$5:$A$48,0)),0)))</f>
        <v/>
      </c>
      <c r="H372" s="22" t="str">
        <f t="shared" si="5"/>
        <v/>
      </c>
      <c r="I372" s="21" t="str">
        <f>IF($L372="","",IF($C372&gt;$M372,IF(Overview!$B$26=1,"uint8","uint8["&amp;Overview!$B$26&amp;"]"),IFERROR(INDEX(Fields!$E$5:$E$48,MATCH($D372,Fields!$A$5:$A$48,0)),"MISSING")))</f>
        <v/>
      </c>
      <c r="J372" s="21" t="str">
        <f>IF($L372="","",IF($C372&gt;$M372,"Fixed end-of-frame delimiter, value "&amp;Overview!$B$25&amp;".",IFERROR(INDEX(Fields!$G$5:$G$48,MATCH($D372,Fields!$A$5:$A$48,0)),"MISSING")))</f>
        <v/>
      </c>
      <c r="K372" s="21" t="str">
        <f>IF($L372="","",IF($C372&gt;$M372,"n/a",IFERROR(INDEX(Fields!$H$5:$H$48,MATCH($D372,Fields!$A$5:$A$48,0)),"MISSING")))</f>
        <v/>
      </c>
      <c r="L372" s="23" t="str">
        <f>IF(ROWS($L$5:L372)&gt;MAX('Packet Builder'!$O$5:$O$34),"",COUNTIF('Packet Builder'!$O$5:$O$34,"&lt;"&amp;ROWS($L$5:L372))+1)</f>
        <v/>
      </c>
      <c r="M372" s="23" t="str">
        <f>IF($L372="","",INDEX('Packet Builder'!$F$5:$F$34,$L372))</f>
        <v/>
      </c>
    </row>
    <row r="373" spans="1:13" x14ac:dyDescent="0.35">
      <c r="A373" s="21" t="str">
        <f>IF($L373="","",INDEX('Packet Builder'!$A$5:$A$34,$L373))</f>
        <v/>
      </c>
      <c r="B373" s="21" t="str">
        <f>IF($L373="","",INDEX('Packet Builder'!$B$5:$B$34,$L373))</f>
        <v/>
      </c>
      <c r="C373" s="22" t="str">
        <f>IF($L373="","",ROWS($L$5:L373)-(INDEX('Packet Builder'!$O$5:$O$34,$L373)-$M373-1))</f>
        <v/>
      </c>
      <c r="D373" s="22" t="str">
        <f>IF($L373="","",IF($C373&gt;$M373,"EOF",IFERROR(VALUE(TRIM(MID(SUBSTITUTE(INDEX('Packet Builder'!$P$5:$P$34,$L373),",",REPT(" ",LEN(INDEX('Packet Builder'!$P$5:$P$34,$L373)))),($C373-1)*LEN(INDEX('Packet Builder'!$P$5:$P$34,$L373))+1,LEN(INDEX('Packet Builder'!$P$5:$P$34,$L373))))),"ERR")))</f>
        <v/>
      </c>
      <c r="E373" s="21" t="str">
        <f>IF($L373="","",IF($C373&gt;$M373,"End of Frame Delimiter",IFERROR(INDEX(Fields!$B$5:$B$48,MATCH($D373,Fields!$A$5:$A$48,0)),"MISSING")))</f>
        <v/>
      </c>
      <c r="F373" s="22" t="str">
        <f>IF($L373="","",SUMIF($L$5:L373,L373,$G$5:G373)-G373)</f>
        <v/>
      </c>
      <c r="G373" s="22" t="str">
        <f>IF($L373="","",IF($C373&gt;$M373,Overview!$B$26,IFERROR(INDEX(Fields!$F$5:$F$48,MATCH($D373,Fields!$A$5:$A$48,0)),0)))</f>
        <v/>
      </c>
      <c r="H373" s="22" t="str">
        <f t="shared" si="5"/>
        <v/>
      </c>
      <c r="I373" s="21" t="str">
        <f>IF($L373="","",IF($C373&gt;$M373,IF(Overview!$B$26=1,"uint8","uint8["&amp;Overview!$B$26&amp;"]"),IFERROR(INDEX(Fields!$E$5:$E$48,MATCH($D373,Fields!$A$5:$A$48,0)),"MISSING")))</f>
        <v/>
      </c>
      <c r="J373" s="21" t="str">
        <f>IF($L373="","",IF($C373&gt;$M373,"Fixed end-of-frame delimiter, value "&amp;Overview!$B$25&amp;".",IFERROR(INDEX(Fields!$G$5:$G$48,MATCH($D373,Fields!$A$5:$A$48,0)),"MISSING")))</f>
        <v/>
      </c>
      <c r="K373" s="21" t="str">
        <f>IF($L373="","",IF($C373&gt;$M373,"n/a",IFERROR(INDEX(Fields!$H$5:$H$48,MATCH($D373,Fields!$A$5:$A$48,0)),"MISSING")))</f>
        <v/>
      </c>
      <c r="L373" s="23" t="str">
        <f>IF(ROWS($L$5:L373)&gt;MAX('Packet Builder'!$O$5:$O$34),"",COUNTIF('Packet Builder'!$O$5:$O$34,"&lt;"&amp;ROWS($L$5:L373))+1)</f>
        <v/>
      </c>
      <c r="M373" s="23" t="str">
        <f>IF($L373="","",INDEX('Packet Builder'!$F$5:$F$34,$L373))</f>
        <v/>
      </c>
    </row>
    <row r="374" spans="1:13" x14ac:dyDescent="0.35">
      <c r="A374" s="21" t="str">
        <f>IF($L374="","",INDEX('Packet Builder'!$A$5:$A$34,$L374))</f>
        <v/>
      </c>
      <c r="B374" s="21" t="str">
        <f>IF($L374="","",INDEX('Packet Builder'!$B$5:$B$34,$L374))</f>
        <v/>
      </c>
      <c r="C374" s="22" t="str">
        <f>IF($L374="","",ROWS($L$5:L374)-(INDEX('Packet Builder'!$O$5:$O$34,$L374)-$M374-1))</f>
        <v/>
      </c>
      <c r="D374" s="22" t="str">
        <f>IF($L374="","",IF($C374&gt;$M374,"EOF",IFERROR(VALUE(TRIM(MID(SUBSTITUTE(INDEX('Packet Builder'!$P$5:$P$34,$L374),",",REPT(" ",LEN(INDEX('Packet Builder'!$P$5:$P$34,$L374)))),($C374-1)*LEN(INDEX('Packet Builder'!$P$5:$P$34,$L374))+1,LEN(INDEX('Packet Builder'!$P$5:$P$34,$L374))))),"ERR")))</f>
        <v/>
      </c>
      <c r="E374" s="21" t="str">
        <f>IF($L374="","",IF($C374&gt;$M374,"End of Frame Delimiter",IFERROR(INDEX(Fields!$B$5:$B$48,MATCH($D374,Fields!$A$5:$A$48,0)),"MISSING")))</f>
        <v/>
      </c>
      <c r="F374" s="22" t="str">
        <f>IF($L374="","",SUMIF($L$5:L374,L374,$G$5:G374)-G374)</f>
        <v/>
      </c>
      <c r="G374" s="22" t="str">
        <f>IF($L374="","",IF($C374&gt;$M374,Overview!$B$26,IFERROR(INDEX(Fields!$F$5:$F$48,MATCH($D374,Fields!$A$5:$A$48,0)),0)))</f>
        <v/>
      </c>
      <c r="H374" s="22" t="str">
        <f t="shared" si="5"/>
        <v/>
      </c>
      <c r="I374" s="21" t="str">
        <f>IF($L374="","",IF($C374&gt;$M374,IF(Overview!$B$26=1,"uint8","uint8["&amp;Overview!$B$26&amp;"]"),IFERROR(INDEX(Fields!$E$5:$E$48,MATCH($D374,Fields!$A$5:$A$48,0)),"MISSING")))</f>
        <v/>
      </c>
      <c r="J374" s="21" t="str">
        <f>IF($L374="","",IF($C374&gt;$M374,"Fixed end-of-frame delimiter, value "&amp;Overview!$B$25&amp;".",IFERROR(INDEX(Fields!$G$5:$G$48,MATCH($D374,Fields!$A$5:$A$48,0)),"MISSING")))</f>
        <v/>
      </c>
      <c r="K374" s="21" t="str">
        <f>IF($L374="","",IF($C374&gt;$M374,"n/a",IFERROR(INDEX(Fields!$H$5:$H$48,MATCH($D374,Fields!$A$5:$A$48,0)),"MISSING")))</f>
        <v/>
      </c>
      <c r="L374" s="23" t="str">
        <f>IF(ROWS($L$5:L374)&gt;MAX('Packet Builder'!$O$5:$O$34),"",COUNTIF('Packet Builder'!$O$5:$O$34,"&lt;"&amp;ROWS($L$5:L374))+1)</f>
        <v/>
      </c>
      <c r="M374" s="23" t="str">
        <f>IF($L374="","",INDEX('Packet Builder'!$F$5:$F$34,$L374))</f>
        <v/>
      </c>
    </row>
    <row r="375" spans="1:13" x14ac:dyDescent="0.35">
      <c r="A375" s="21" t="str">
        <f>IF($L375="","",INDEX('Packet Builder'!$A$5:$A$34,$L375))</f>
        <v/>
      </c>
      <c r="B375" s="21" t="str">
        <f>IF($L375="","",INDEX('Packet Builder'!$B$5:$B$34,$L375))</f>
        <v/>
      </c>
      <c r="C375" s="22" t="str">
        <f>IF($L375="","",ROWS($L$5:L375)-(INDEX('Packet Builder'!$O$5:$O$34,$L375)-$M375-1))</f>
        <v/>
      </c>
      <c r="D375" s="22" t="str">
        <f>IF($L375="","",IF($C375&gt;$M375,"EOF",IFERROR(VALUE(TRIM(MID(SUBSTITUTE(INDEX('Packet Builder'!$P$5:$P$34,$L375),",",REPT(" ",LEN(INDEX('Packet Builder'!$P$5:$P$34,$L375)))),($C375-1)*LEN(INDEX('Packet Builder'!$P$5:$P$34,$L375))+1,LEN(INDEX('Packet Builder'!$P$5:$P$34,$L375))))),"ERR")))</f>
        <v/>
      </c>
      <c r="E375" s="21" t="str">
        <f>IF($L375="","",IF($C375&gt;$M375,"End of Frame Delimiter",IFERROR(INDEX(Fields!$B$5:$B$48,MATCH($D375,Fields!$A$5:$A$48,0)),"MISSING")))</f>
        <v/>
      </c>
      <c r="F375" s="22" t="str">
        <f>IF($L375="","",SUMIF($L$5:L375,L375,$G$5:G375)-G375)</f>
        <v/>
      </c>
      <c r="G375" s="22" t="str">
        <f>IF($L375="","",IF($C375&gt;$M375,Overview!$B$26,IFERROR(INDEX(Fields!$F$5:$F$48,MATCH($D375,Fields!$A$5:$A$48,0)),0)))</f>
        <v/>
      </c>
      <c r="H375" s="22" t="str">
        <f t="shared" si="5"/>
        <v/>
      </c>
      <c r="I375" s="21" t="str">
        <f>IF($L375="","",IF($C375&gt;$M375,IF(Overview!$B$26=1,"uint8","uint8["&amp;Overview!$B$26&amp;"]"),IFERROR(INDEX(Fields!$E$5:$E$48,MATCH($D375,Fields!$A$5:$A$48,0)),"MISSING")))</f>
        <v/>
      </c>
      <c r="J375" s="21" t="str">
        <f>IF($L375="","",IF($C375&gt;$M375,"Fixed end-of-frame delimiter, value "&amp;Overview!$B$25&amp;".",IFERROR(INDEX(Fields!$G$5:$G$48,MATCH($D375,Fields!$A$5:$A$48,0)),"MISSING")))</f>
        <v/>
      </c>
      <c r="K375" s="21" t="str">
        <f>IF($L375="","",IF($C375&gt;$M375,"n/a",IFERROR(INDEX(Fields!$H$5:$H$48,MATCH($D375,Fields!$A$5:$A$48,0)),"MISSING")))</f>
        <v/>
      </c>
      <c r="L375" s="23" t="str">
        <f>IF(ROWS($L$5:L375)&gt;MAX('Packet Builder'!$O$5:$O$34),"",COUNTIF('Packet Builder'!$O$5:$O$34,"&lt;"&amp;ROWS($L$5:L375))+1)</f>
        <v/>
      </c>
      <c r="M375" s="23" t="str">
        <f>IF($L375="","",INDEX('Packet Builder'!$F$5:$F$34,$L375))</f>
        <v/>
      </c>
    </row>
    <row r="376" spans="1:13" x14ac:dyDescent="0.35">
      <c r="A376" s="21" t="str">
        <f>IF($L376="","",INDEX('Packet Builder'!$A$5:$A$34,$L376))</f>
        <v/>
      </c>
      <c r="B376" s="21" t="str">
        <f>IF($L376="","",INDEX('Packet Builder'!$B$5:$B$34,$L376))</f>
        <v/>
      </c>
      <c r="C376" s="22" t="str">
        <f>IF($L376="","",ROWS($L$5:L376)-(INDEX('Packet Builder'!$O$5:$O$34,$L376)-$M376-1))</f>
        <v/>
      </c>
      <c r="D376" s="22" t="str">
        <f>IF($L376="","",IF($C376&gt;$M376,"EOF",IFERROR(VALUE(TRIM(MID(SUBSTITUTE(INDEX('Packet Builder'!$P$5:$P$34,$L376),",",REPT(" ",LEN(INDEX('Packet Builder'!$P$5:$P$34,$L376)))),($C376-1)*LEN(INDEX('Packet Builder'!$P$5:$P$34,$L376))+1,LEN(INDEX('Packet Builder'!$P$5:$P$34,$L376))))),"ERR")))</f>
        <v/>
      </c>
      <c r="E376" s="21" t="str">
        <f>IF($L376="","",IF($C376&gt;$M376,"End of Frame Delimiter",IFERROR(INDEX(Fields!$B$5:$B$48,MATCH($D376,Fields!$A$5:$A$48,0)),"MISSING")))</f>
        <v/>
      </c>
      <c r="F376" s="22" t="str">
        <f>IF($L376="","",SUMIF($L$5:L376,L376,$G$5:G376)-G376)</f>
        <v/>
      </c>
      <c r="G376" s="22" t="str">
        <f>IF($L376="","",IF($C376&gt;$M376,Overview!$B$26,IFERROR(INDEX(Fields!$F$5:$F$48,MATCH($D376,Fields!$A$5:$A$48,0)),0)))</f>
        <v/>
      </c>
      <c r="H376" s="22" t="str">
        <f t="shared" si="5"/>
        <v/>
      </c>
      <c r="I376" s="21" t="str">
        <f>IF($L376="","",IF($C376&gt;$M376,IF(Overview!$B$26=1,"uint8","uint8["&amp;Overview!$B$26&amp;"]"),IFERROR(INDEX(Fields!$E$5:$E$48,MATCH($D376,Fields!$A$5:$A$48,0)),"MISSING")))</f>
        <v/>
      </c>
      <c r="J376" s="21" t="str">
        <f>IF($L376="","",IF($C376&gt;$M376,"Fixed end-of-frame delimiter, value "&amp;Overview!$B$25&amp;".",IFERROR(INDEX(Fields!$G$5:$G$48,MATCH($D376,Fields!$A$5:$A$48,0)),"MISSING")))</f>
        <v/>
      </c>
      <c r="K376" s="21" t="str">
        <f>IF($L376="","",IF($C376&gt;$M376,"n/a",IFERROR(INDEX(Fields!$H$5:$H$48,MATCH($D376,Fields!$A$5:$A$48,0)),"MISSING")))</f>
        <v/>
      </c>
      <c r="L376" s="23" t="str">
        <f>IF(ROWS($L$5:L376)&gt;MAX('Packet Builder'!$O$5:$O$34),"",COUNTIF('Packet Builder'!$O$5:$O$34,"&lt;"&amp;ROWS($L$5:L376))+1)</f>
        <v/>
      </c>
      <c r="M376" s="23" t="str">
        <f>IF($L376="","",INDEX('Packet Builder'!$F$5:$F$34,$L376))</f>
        <v/>
      </c>
    </row>
    <row r="377" spans="1:13" x14ac:dyDescent="0.35">
      <c r="A377" s="21" t="str">
        <f>IF($L377="","",INDEX('Packet Builder'!$A$5:$A$34,$L377))</f>
        <v/>
      </c>
      <c r="B377" s="21" t="str">
        <f>IF($L377="","",INDEX('Packet Builder'!$B$5:$B$34,$L377))</f>
        <v/>
      </c>
      <c r="C377" s="22" t="str">
        <f>IF($L377="","",ROWS($L$5:L377)-(INDEX('Packet Builder'!$O$5:$O$34,$L377)-$M377-1))</f>
        <v/>
      </c>
      <c r="D377" s="22" t="str">
        <f>IF($L377="","",IF($C377&gt;$M377,"EOF",IFERROR(VALUE(TRIM(MID(SUBSTITUTE(INDEX('Packet Builder'!$P$5:$P$34,$L377),",",REPT(" ",LEN(INDEX('Packet Builder'!$P$5:$P$34,$L377)))),($C377-1)*LEN(INDEX('Packet Builder'!$P$5:$P$34,$L377))+1,LEN(INDEX('Packet Builder'!$P$5:$P$34,$L377))))),"ERR")))</f>
        <v/>
      </c>
      <c r="E377" s="21" t="str">
        <f>IF($L377="","",IF($C377&gt;$M377,"End of Frame Delimiter",IFERROR(INDEX(Fields!$B$5:$B$48,MATCH($D377,Fields!$A$5:$A$48,0)),"MISSING")))</f>
        <v/>
      </c>
      <c r="F377" s="22" t="str">
        <f>IF($L377="","",SUMIF($L$5:L377,L377,$G$5:G377)-G377)</f>
        <v/>
      </c>
      <c r="G377" s="22" t="str">
        <f>IF($L377="","",IF($C377&gt;$M377,Overview!$B$26,IFERROR(INDEX(Fields!$F$5:$F$48,MATCH($D377,Fields!$A$5:$A$48,0)),0)))</f>
        <v/>
      </c>
      <c r="H377" s="22" t="str">
        <f t="shared" si="5"/>
        <v/>
      </c>
      <c r="I377" s="21" t="str">
        <f>IF($L377="","",IF($C377&gt;$M377,IF(Overview!$B$26=1,"uint8","uint8["&amp;Overview!$B$26&amp;"]"),IFERROR(INDEX(Fields!$E$5:$E$48,MATCH($D377,Fields!$A$5:$A$48,0)),"MISSING")))</f>
        <v/>
      </c>
      <c r="J377" s="21" t="str">
        <f>IF($L377="","",IF($C377&gt;$M377,"Fixed end-of-frame delimiter, value "&amp;Overview!$B$25&amp;".",IFERROR(INDEX(Fields!$G$5:$G$48,MATCH($D377,Fields!$A$5:$A$48,0)),"MISSING")))</f>
        <v/>
      </c>
      <c r="K377" s="21" t="str">
        <f>IF($L377="","",IF($C377&gt;$M377,"n/a",IFERROR(INDEX(Fields!$H$5:$H$48,MATCH($D377,Fields!$A$5:$A$48,0)),"MISSING")))</f>
        <v/>
      </c>
      <c r="L377" s="23" t="str">
        <f>IF(ROWS($L$5:L377)&gt;MAX('Packet Builder'!$O$5:$O$34),"",COUNTIF('Packet Builder'!$O$5:$O$34,"&lt;"&amp;ROWS($L$5:L377))+1)</f>
        <v/>
      </c>
      <c r="M377" s="23" t="str">
        <f>IF($L377="","",INDEX('Packet Builder'!$F$5:$F$34,$L377))</f>
        <v/>
      </c>
    </row>
    <row r="378" spans="1:13" x14ac:dyDescent="0.35">
      <c r="A378" s="21" t="str">
        <f>IF($L378="","",INDEX('Packet Builder'!$A$5:$A$34,$L378))</f>
        <v/>
      </c>
      <c r="B378" s="21" t="str">
        <f>IF($L378="","",INDEX('Packet Builder'!$B$5:$B$34,$L378))</f>
        <v/>
      </c>
      <c r="C378" s="22" t="str">
        <f>IF($L378="","",ROWS($L$5:L378)-(INDEX('Packet Builder'!$O$5:$O$34,$L378)-$M378-1))</f>
        <v/>
      </c>
      <c r="D378" s="22" t="str">
        <f>IF($L378="","",IF($C378&gt;$M378,"EOF",IFERROR(VALUE(TRIM(MID(SUBSTITUTE(INDEX('Packet Builder'!$P$5:$P$34,$L378),",",REPT(" ",LEN(INDEX('Packet Builder'!$P$5:$P$34,$L378)))),($C378-1)*LEN(INDEX('Packet Builder'!$P$5:$P$34,$L378))+1,LEN(INDEX('Packet Builder'!$P$5:$P$34,$L378))))),"ERR")))</f>
        <v/>
      </c>
      <c r="E378" s="21" t="str">
        <f>IF($L378="","",IF($C378&gt;$M378,"End of Frame Delimiter",IFERROR(INDEX(Fields!$B$5:$B$48,MATCH($D378,Fields!$A$5:$A$48,0)),"MISSING")))</f>
        <v/>
      </c>
      <c r="F378" s="22" t="str">
        <f>IF($L378="","",SUMIF($L$5:L378,L378,$G$5:G378)-G378)</f>
        <v/>
      </c>
      <c r="G378" s="22" t="str">
        <f>IF($L378="","",IF($C378&gt;$M378,Overview!$B$26,IFERROR(INDEX(Fields!$F$5:$F$48,MATCH($D378,Fields!$A$5:$A$48,0)),0)))</f>
        <v/>
      </c>
      <c r="H378" s="22" t="str">
        <f t="shared" si="5"/>
        <v/>
      </c>
      <c r="I378" s="21" t="str">
        <f>IF($L378="","",IF($C378&gt;$M378,IF(Overview!$B$26=1,"uint8","uint8["&amp;Overview!$B$26&amp;"]"),IFERROR(INDEX(Fields!$E$5:$E$48,MATCH($D378,Fields!$A$5:$A$48,0)),"MISSING")))</f>
        <v/>
      </c>
      <c r="J378" s="21" t="str">
        <f>IF($L378="","",IF($C378&gt;$M378,"Fixed end-of-frame delimiter, value "&amp;Overview!$B$25&amp;".",IFERROR(INDEX(Fields!$G$5:$G$48,MATCH($D378,Fields!$A$5:$A$48,0)),"MISSING")))</f>
        <v/>
      </c>
      <c r="K378" s="21" t="str">
        <f>IF($L378="","",IF($C378&gt;$M378,"n/a",IFERROR(INDEX(Fields!$H$5:$H$48,MATCH($D378,Fields!$A$5:$A$48,0)),"MISSING")))</f>
        <v/>
      </c>
      <c r="L378" s="23" t="str">
        <f>IF(ROWS($L$5:L378)&gt;MAX('Packet Builder'!$O$5:$O$34),"",COUNTIF('Packet Builder'!$O$5:$O$34,"&lt;"&amp;ROWS($L$5:L378))+1)</f>
        <v/>
      </c>
      <c r="M378" s="23" t="str">
        <f>IF($L378="","",INDEX('Packet Builder'!$F$5:$F$34,$L378))</f>
        <v/>
      </c>
    </row>
    <row r="379" spans="1:13" x14ac:dyDescent="0.35">
      <c r="A379" s="21" t="str">
        <f>IF($L379="","",INDEX('Packet Builder'!$A$5:$A$34,$L379))</f>
        <v/>
      </c>
      <c r="B379" s="21" t="str">
        <f>IF($L379="","",INDEX('Packet Builder'!$B$5:$B$34,$L379))</f>
        <v/>
      </c>
      <c r="C379" s="22" t="str">
        <f>IF($L379="","",ROWS($L$5:L379)-(INDEX('Packet Builder'!$O$5:$O$34,$L379)-$M379-1))</f>
        <v/>
      </c>
      <c r="D379" s="22" t="str">
        <f>IF($L379="","",IF($C379&gt;$M379,"EOF",IFERROR(VALUE(TRIM(MID(SUBSTITUTE(INDEX('Packet Builder'!$P$5:$P$34,$L379),",",REPT(" ",LEN(INDEX('Packet Builder'!$P$5:$P$34,$L379)))),($C379-1)*LEN(INDEX('Packet Builder'!$P$5:$P$34,$L379))+1,LEN(INDEX('Packet Builder'!$P$5:$P$34,$L379))))),"ERR")))</f>
        <v/>
      </c>
      <c r="E379" s="21" t="str">
        <f>IF($L379="","",IF($C379&gt;$M379,"End of Frame Delimiter",IFERROR(INDEX(Fields!$B$5:$B$48,MATCH($D379,Fields!$A$5:$A$48,0)),"MISSING")))</f>
        <v/>
      </c>
      <c r="F379" s="22" t="str">
        <f>IF($L379="","",SUMIF($L$5:L379,L379,$G$5:G379)-G379)</f>
        <v/>
      </c>
      <c r="G379" s="22" t="str">
        <f>IF($L379="","",IF($C379&gt;$M379,Overview!$B$26,IFERROR(INDEX(Fields!$F$5:$F$48,MATCH($D379,Fields!$A$5:$A$48,0)),0)))</f>
        <v/>
      </c>
      <c r="H379" s="22" t="str">
        <f t="shared" si="5"/>
        <v/>
      </c>
      <c r="I379" s="21" t="str">
        <f>IF($L379="","",IF($C379&gt;$M379,IF(Overview!$B$26=1,"uint8","uint8["&amp;Overview!$B$26&amp;"]"),IFERROR(INDEX(Fields!$E$5:$E$48,MATCH($D379,Fields!$A$5:$A$48,0)),"MISSING")))</f>
        <v/>
      </c>
      <c r="J379" s="21" t="str">
        <f>IF($L379="","",IF($C379&gt;$M379,"Fixed end-of-frame delimiter, value "&amp;Overview!$B$25&amp;".",IFERROR(INDEX(Fields!$G$5:$G$48,MATCH($D379,Fields!$A$5:$A$48,0)),"MISSING")))</f>
        <v/>
      </c>
      <c r="K379" s="21" t="str">
        <f>IF($L379="","",IF($C379&gt;$M379,"n/a",IFERROR(INDEX(Fields!$H$5:$H$48,MATCH($D379,Fields!$A$5:$A$48,0)),"MISSING")))</f>
        <v/>
      </c>
      <c r="L379" s="23" t="str">
        <f>IF(ROWS($L$5:L379)&gt;MAX('Packet Builder'!$O$5:$O$34),"",COUNTIF('Packet Builder'!$O$5:$O$34,"&lt;"&amp;ROWS($L$5:L379))+1)</f>
        <v/>
      </c>
      <c r="M379" s="23" t="str">
        <f>IF($L379="","",INDEX('Packet Builder'!$F$5:$F$34,$L379))</f>
        <v/>
      </c>
    </row>
    <row r="380" spans="1:13" x14ac:dyDescent="0.35">
      <c r="A380" s="21" t="str">
        <f>IF($L380="","",INDEX('Packet Builder'!$A$5:$A$34,$L380))</f>
        <v/>
      </c>
      <c r="B380" s="21" t="str">
        <f>IF($L380="","",INDEX('Packet Builder'!$B$5:$B$34,$L380))</f>
        <v/>
      </c>
      <c r="C380" s="22" t="str">
        <f>IF($L380="","",ROWS($L$5:L380)-(INDEX('Packet Builder'!$O$5:$O$34,$L380)-$M380-1))</f>
        <v/>
      </c>
      <c r="D380" s="22" t="str">
        <f>IF($L380="","",IF($C380&gt;$M380,"EOF",IFERROR(VALUE(TRIM(MID(SUBSTITUTE(INDEX('Packet Builder'!$P$5:$P$34,$L380),",",REPT(" ",LEN(INDEX('Packet Builder'!$P$5:$P$34,$L380)))),($C380-1)*LEN(INDEX('Packet Builder'!$P$5:$P$34,$L380))+1,LEN(INDEX('Packet Builder'!$P$5:$P$34,$L380))))),"ERR")))</f>
        <v/>
      </c>
      <c r="E380" s="21" t="str">
        <f>IF($L380="","",IF($C380&gt;$M380,"End of Frame Delimiter",IFERROR(INDEX(Fields!$B$5:$B$48,MATCH($D380,Fields!$A$5:$A$48,0)),"MISSING")))</f>
        <v/>
      </c>
      <c r="F380" s="22" t="str">
        <f>IF($L380="","",SUMIF($L$5:L380,L380,$G$5:G380)-G380)</f>
        <v/>
      </c>
      <c r="G380" s="22" t="str">
        <f>IF($L380="","",IF($C380&gt;$M380,Overview!$B$26,IFERROR(INDEX(Fields!$F$5:$F$48,MATCH($D380,Fields!$A$5:$A$48,0)),0)))</f>
        <v/>
      </c>
      <c r="H380" s="22" t="str">
        <f t="shared" si="5"/>
        <v/>
      </c>
      <c r="I380" s="21" t="str">
        <f>IF($L380="","",IF($C380&gt;$M380,IF(Overview!$B$26=1,"uint8","uint8["&amp;Overview!$B$26&amp;"]"),IFERROR(INDEX(Fields!$E$5:$E$48,MATCH($D380,Fields!$A$5:$A$48,0)),"MISSING")))</f>
        <v/>
      </c>
      <c r="J380" s="21" t="str">
        <f>IF($L380="","",IF($C380&gt;$M380,"Fixed end-of-frame delimiter, value "&amp;Overview!$B$25&amp;".",IFERROR(INDEX(Fields!$G$5:$G$48,MATCH($D380,Fields!$A$5:$A$48,0)),"MISSING")))</f>
        <v/>
      </c>
      <c r="K380" s="21" t="str">
        <f>IF($L380="","",IF($C380&gt;$M380,"n/a",IFERROR(INDEX(Fields!$H$5:$H$48,MATCH($D380,Fields!$A$5:$A$48,0)),"MISSING")))</f>
        <v/>
      </c>
      <c r="L380" s="23" t="str">
        <f>IF(ROWS($L$5:L380)&gt;MAX('Packet Builder'!$O$5:$O$34),"",COUNTIF('Packet Builder'!$O$5:$O$34,"&lt;"&amp;ROWS($L$5:L380))+1)</f>
        <v/>
      </c>
      <c r="M380" s="23" t="str">
        <f>IF($L380="","",INDEX('Packet Builder'!$F$5:$F$34,$L380))</f>
        <v/>
      </c>
    </row>
    <row r="381" spans="1:13" x14ac:dyDescent="0.35">
      <c r="A381" s="21" t="str">
        <f>IF($L381="","",INDEX('Packet Builder'!$A$5:$A$34,$L381))</f>
        <v/>
      </c>
      <c r="B381" s="21" t="str">
        <f>IF($L381="","",INDEX('Packet Builder'!$B$5:$B$34,$L381))</f>
        <v/>
      </c>
      <c r="C381" s="22" t="str">
        <f>IF($L381="","",ROWS($L$5:L381)-(INDEX('Packet Builder'!$O$5:$O$34,$L381)-$M381-1))</f>
        <v/>
      </c>
      <c r="D381" s="22" t="str">
        <f>IF($L381="","",IF($C381&gt;$M381,"EOF",IFERROR(VALUE(TRIM(MID(SUBSTITUTE(INDEX('Packet Builder'!$P$5:$P$34,$L381),",",REPT(" ",LEN(INDEX('Packet Builder'!$P$5:$P$34,$L381)))),($C381-1)*LEN(INDEX('Packet Builder'!$P$5:$P$34,$L381))+1,LEN(INDEX('Packet Builder'!$P$5:$P$34,$L381))))),"ERR")))</f>
        <v/>
      </c>
      <c r="E381" s="21" t="str">
        <f>IF($L381="","",IF($C381&gt;$M381,"End of Frame Delimiter",IFERROR(INDEX(Fields!$B$5:$B$48,MATCH($D381,Fields!$A$5:$A$48,0)),"MISSING")))</f>
        <v/>
      </c>
      <c r="F381" s="22" t="str">
        <f>IF($L381="","",SUMIF($L$5:L381,L381,$G$5:G381)-G381)</f>
        <v/>
      </c>
      <c r="G381" s="22" t="str">
        <f>IF($L381="","",IF($C381&gt;$M381,Overview!$B$26,IFERROR(INDEX(Fields!$F$5:$F$48,MATCH($D381,Fields!$A$5:$A$48,0)),0)))</f>
        <v/>
      </c>
      <c r="H381" s="22" t="str">
        <f t="shared" si="5"/>
        <v/>
      </c>
      <c r="I381" s="21" t="str">
        <f>IF($L381="","",IF($C381&gt;$M381,IF(Overview!$B$26=1,"uint8","uint8["&amp;Overview!$B$26&amp;"]"),IFERROR(INDEX(Fields!$E$5:$E$48,MATCH($D381,Fields!$A$5:$A$48,0)),"MISSING")))</f>
        <v/>
      </c>
      <c r="J381" s="21" t="str">
        <f>IF($L381="","",IF($C381&gt;$M381,"Fixed end-of-frame delimiter, value "&amp;Overview!$B$25&amp;".",IFERROR(INDEX(Fields!$G$5:$G$48,MATCH($D381,Fields!$A$5:$A$48,0)),"MISSING")))</f>
        <v/>
      </c>
      <c r="K381" s="21" t="str">
        <f>IF($L381="","",IF($C381&gt;$M381,"n/a",IFERROR(INDEX(Fields!$H$5:$H$48,MATCH($D381,Fields!$A$5:$A$48,0)),"MISSING")))</f>
        <v/>
      </c>
      <c r="L381" s="23" t="str">
        <f>IF(ROWS($L$5:L381)&gt;MAX('Packet Builder'!$O$5:$O$34),"",COUNTIF('Packet Builder'!$O$5:$O$34,"&lt;"&amp;ROWS($L$5:L381))+1)</f>
        <v/>
      </c>
      <c r="M381" s="23" t="str">
        <f>IF($L381="","",INDEX('Packet Builder'!$F$5:$F$34,$L381))</f>
        <v/>
      </c>
    </row>
    <row r="382" spans="1:13" x14ac:dyDescent="0.35">
      <c r="A382" s="21" t="str">
        <f>IF($L382="","",INDEX('Packet Builder'!$A$5:$A$34,$L382))</f>
        <v/>
      </c>
      <c r="B382" s="21" t="str">
        <f>IF($L382="","",INDEX('Packet Builder'!$B$5:$B$34,$L382))</f>
        <v/>
      </c>
      <c r="C382" s="22" t="str">
        <f>IF($L382="","",ROWS($L$5:L382)-(INDEX('Packet Builder'!$O$5:$O$34,$L382)-$M382-1))</f>
        <v/>
      </c>
      <c r="D382" s="22" t="str">
        <f>IF($L382="","",IF($C382&gt;$M382,"EOF",IFERROR(VALUE(TRIM(MID(SUBSTITUTE(INDEX('Packet Builder'!$P$5:$P$34,$L382),",",REPT(" ",LEN(INDEX('Packet Builder'!$P$5:$P$34,$L382)))),($C382-1)*LEN(INDEX('Packet Builder'!$P$5:$P$34,$L382))+1,LEN(INDEX('Packet Builder'!$P$5:$P$34,$L382))))),"ERR")))</f>
        <v/>
      </c>
      <c r="E382" s="21" t="str">
        <f>IF($L382="","",IF($C382&gt;$M382,"End of Frame Delimiter",IFERROR(INDEX(Fields!$B$5:$B$48,MATCH($D382,Fields!$A$5:$A$48,0)),"MISSING")))</f>
        <v/>
      </c>
      <c r="F382" s="22" t="str">
        <f>IF($L382="","",SUMIF($L$5:L382,L382,$G$5:G382)-G382)</f>
        <v/>
      </c>
      <c r="G382" s="22" t="str">
        <f>IF($L382="","",IF($C382&gt;$M382,Overview!$B$26,IFERROR(INDEX(Fields!$F$5:$F$48,MATCH($D382,Fields!$A$5:$A$48,0)),0)))</f>
        <v/>
      </c>
      <c r="H382" s="22" t="str">
        <f t="shared" si="5"/>
        <v/>
      </c>
      <c r="I382" s="21" t="str">
        <f>IF($L382="","",IF($C382&gt;$M382,IF(Overview!$B$26=1,"uint8","uint8["&amp;Overview!$B$26&amp;"]"),IFERROR(INDEX(Fields!$E$5:$E$48,MATCH($D382,Fields!$A$5:$A$48,0)),"MISSING")))</f>
        <v/>
      </c>
      <c r="J382" s="21" t="str">
        <f>IF($L382="","",IF($C382&gt;$M382,"Fixed end-of-frame delimiter, value "&amp;Overview!$B$25&amp;".",IFERROR(INDEX(Fields!$G$5:$G$48,MATCH($D382,Fields!$A$5:$A$48,0)),"MISSING")))</f>
        <v/>
      </c>
      <c r="K382" s="21" t="str">
        <f>IF($L382="","",IF($C382&gt;$M382,"n/a",IFERROR(INDEX(Fields!$H$5:$H$48,MATCH($D382,Fields!$A$5:$A$48,0)),"MISSING")))</f>
        <v/>
      </c>
      <c r="L382" s="23" t="str">
        <f>IF(ROWS($L$5:L382)&gt;MAX('Packet Builder'!$O$5:$O$34),"",COUNTIF('Packet Builder'!$O$5:$O$34,"&lt;"&amp;ROWS($L$5:L382))+1)</f>
        <v/>
      </c>
      <c r="M382" s="23" t="str">
        <f>IF($L382="","",INDEX('Packet Builder'!$F$5:$F$34,$L382))</f>
        <v/>
      </c>
    </row>
    <row r="383" spans="1:13" x14ac:dyDescent="0.35">
      <c r="A383" s="21" t="str">
        <f>IF($L383="","",INDEX('Packet Builder'!$A$5:$A$34,$L383))</f>
        <v/>
      </c>
      <c r="B383" s="21" t="str">
        <f>IF($L383="","",INDEX('Packet Builder'!$B$5:$B$34,$L383))</f>
        <v/>
      </c>
      <c r="C383" s="22" t="str">
        <f>IF($L383="","",ROWS($L$5:L383)-(INDEX('Packet Builder'!$O$5:$O$34,$L383)-$M383-1))</f>
        <v/>
      </c>
      <c r="D383" s="22" t="str">
        <f>IF($L383="","",IF($C383&gt;$M383,"EOF",IFERROR(VALUE(TRIM(MID(SUBSTITUTE(INDEX('Packet Builder'!$P$5:$P$34,$L383),",",REPT(" ",LEN(INDEX('Packet Builder'!$P$5:$P$34,$L383)))),($C383-1)*LEN(INDEX('Packet Builder'!$P$5:$P$34,$L383))+1,LEN(INDEX('Packet Builder'!$P$5:$P$34,$L383))))),"ERR")))</f>
        <v/>
      </c>
      <c r="E383" s="21" t="str">
        <f>IF($L383="","",IF($C383&gt;$M383,"End of Frame Delimiter",IFERROR(INDEX(Fields!$B$5:$B$48,MATCH($D383,Fields!$A$5:$A$48,0)),"MISSING")))</f>
        <v/>
      </c>
      <c r="F383" s="22" t="str">
        <f>IF($L383="","",SUMIF($L$5:L383,L383,$G$5:G383)-G383)</f>
        <v/>
      </c>
      <c r="G383" s="22" t="str">
        <f>IF($L383="","",IF($C383&gt;$M383,Overview!$B$26,IFERROR(INDEX(Fields!$F$5:$F$48,MATCH($D383,Fields!$A$5:$A$48,0)),0)))</f>
        <v/>
      </c>
      <c r="H383" s="22" t="str">
        <f t="shared" si="5"/>
        <v/>
      </c>
      <c r="I383" s="21" t="str">
        <f>IF($L383="","",IF($C383&gt;$M383,IF(Overview!$B$26=1,"uint8","uint8["&amp;Overview!$B$26&amp;"]"),IFERROR(INDEX(Fields!$E$5:$E$48,MATCH($D383,Fields!$A$5:$A$48,0)),"MISSING")))</f>
        <v/>
      </c>
      <c r="J383" s="21" t="str">
        <f>IF($L383="","",IF($C383&gt;$M383,"Fixed end-of-frame delimiter, value "&amp;Overview!$B$25&amp;".",IFERROR(INDEX(Fields!$G$5:$G$48,MATCH($D383,Fields!$A$5:$A$48,0)),"MISSING")))</f>
        <v/>
      </c>
      <c r="K383" s="21" t="str">
        <f>IF($L383="","",IF($C383&gt;$M383,"n/a",IFERROR(INDEX(Fields!$H$5:$H$48,MATCH($D383,Fields!$A$5:$A$48,0)),"MISSING")))</f>
        <v/>
      </c>
      <c r="L383" s="23" t="str">
        <f>IF(ROWS($L$5:L383)&gt;MAX('Packet Builder'!$O$5:$O$34),"",COUNTIF('Packet Builder'!$O$5:$O$34,"&lt;"&amp;ROWS($L$5:L383))+1)</f>
        <v/>
      </c>
      <c r="M383" s="23" t="str">
        <f>IF($L383="","",INDEX('Packet Builder'!$F$5:$F$34,$L383))</f>
        <v/>
      </c>
    </row>
    <row r="384" spans="1:13" x14ac:dyDescent="0.35">
      <c r="A384" s="21" t="str">
        <f>IF($L384="","",INDEX('Packet Builder'!$A$5:$A$34,$L384))</f>
        <v/>
      </c>
      <c r="B384" s="21" t="str">
        <f>IF($L384="","",INDEX('Packet Builder'!$B$5:$B$34,$L384))</f>
        <v/>
      </c>
      <c r="C384" s="22" t="str">
        <f>IF($L384="","",ROWS($L$5:L384)-(INDEX('Packet Builder'!$O$5:$O$34,$L384)-$M384-1))</f>
        <v/>
      </c>
      <c r="D384" s="22" t="str">
        <f>IF($L384="","",IF($C384&gt;$M384,"EOF",IFERROR(VALUE(TRIM(MID(SUBSTITUTE(INDEX('Packet Builder'!$P$5:$P$34,$L384),",",REPT(" ",LEN(INDEX('Packet Builder'!$P$5:$P$34,$L384)))),($C384-1)*LEN(INDEX('Packet Builder'!$P$5:$P$34,$L384))+1,LEN(INDEX('Packet Builder'!$P$5:$P$34,$L384))))),"ERR")))</f>
        <v/>
      </c>
      <c r="E384" s="21" t="str">
        <f>IF($L384="","",IF($C384&gt;$M384,"End of Frame Delimiter",IFERROR(INDEX(Fields!$B$5:$B$48,MATCH($D384,Fields!$A$5:$A$48,0)),"MISSING")))</f>
        <v/>
      </c>
      <c r="F384" s="22" t="str">
        <f>IF($L384="","",SUMIF($L$5:L384,L384,$G$5:G384)-G384)</f>
        <v/>
      </c>
      <c r="G384" s="22" t="str">
        <f>IF($L384="","",IF($C384&gt;$M384,Overview!$B$26,IFERROR(INDEX(Fields!$F$5:$F$48,MATCH($D384,Fields!$A$5:$A$48,0)),0)))</f>
        <v/>
      </c>
      <c r="H384" s="22" t="str">
        <f t="shared" si="5"/>
        <v/>
      </c>
      <c r="I384" s="21" t="str">
        <f>IF($L384="","",IF($C384&gt;$M384,IF(Overview!$B$26=1,"uint8","uint8["&amp;Overview!$B$26&amp;"]"),IFERROR(INDEX(Fields!$E$5:$E$48,MATCH($D384,Fields!$A$5:$A$48,0)),"MISSING")))</f>
        <v/>
      </c>
      <c r="J384" s="21" t="str">
        <f>IF($L384="","",IF($C384&gt;$M384,"Fixed end-of-frame delimiter, value "&amp;Overview!$B$25&amp;".",IFERROR(INDEX(Fields!$G$5:$G$48,MATCH($D384,Fields!$A$5:$A$48,0)),"MISSING")))</f>
        <v/>
      </c>
      <c r="K384" s="21" t="str">
        <f>IF($L384="","",IF($C384&gt;$M384,"n/a",IFERROR(INDEX(Fields!$H$5:$H$48,MATCH($D384,Fields!$A$5:$A$48,0)),"MISSING")))</f>
        <v/>
      </c>
      <c r="L384" s="23" t="str">
        <f>IF(ROWS($L$5:L384)&gt;MAX('Packet Builder'!$O$5:$O$34),"",COUNTIF('Packet Builder'!$O$5:$O$34,"&lt;"&amp;ROWS($L$5:L384))+1)</f>
        <v/>
      </c>
      <c r="M384" s="23" t="str">
        <f>IF($L384="","",INDEX('Packet Builder'!$F$5:$F$34,$L384))</f>
        <v/>
      </c>
    </row>
    <row r="385" spans="1:13" x14ac:dyDescent="0.35">
      <c r="A385" s="21" t="str">
        <f>IF($L385="","",INDEX('Packet Builder'!$A$5:$A$34,$L385))</f>
        <v/>
      </c>
      <c r="B385" s="21" t="str">
        <f>IF($L385="","",INDEX('Packet Builder'!$B$5:$B$34,$L385))</f>
        <v/>
      </c>
      <c r="C385" s="22" t="str">
        <f>IF($L385="","",ROWS($L$5:L385)-(INDEX('Packet Builder'!$O$5:$O$34,$L385)-$M385-1))</f>
        <v/>
      </c>
      <c r="D385" s="22" t="str">
        <f>IF($L385="","",IF($C385&gt;$M385,"EOF",IFERROR(VALUE(TRIM(MID(SUBSTITUTE(INDEX('Packet Builder'!$P$5:$P$34,$L385),",",REPT(" ",LEN(INDEX('Packet Builder'!$P$5:$P$34,$L385)))),($C385-1)*LEN(INDEX('Packet Builder'!$P$5:$P$34,$L385))+1,LEN(INDEX('Packet Builder'!$P$5:$P$34,$L385))))),"ERR")))</f>
        <v/>
      </c>
      <c r="E385" s="21" t="str">
        <f>IF($L385="","",IF($C385&gt;$M385,"End of Frame Delimiter",IFERROR(INDEX(Fields!$B$5:$B$48,MATCH($D385,Fields!$A$5:$A$48,0)),"MISSING")))</f>
        <v/>
      </c>
      <c r="F385" s="22" t="str">
        <f>IF($L385="","",SUMIF($L$5:L385,L385,$G$5:G385)-G385)</f>
        <v/>
      </c>
      <c r="G385" s="22" t="str">
        <f>IF($L385="","",IF($C385&gt;$M385,Overview!$B$26,IFERROR(INDEX(Fields!$F$5:$F$48,MATCH($D385,Fields!$A$5:$A$48,0)),0)))</f>
        <v/>
      </c>
      <c r="H385" s="22" t="str">
        <f t="shared" si="5"/>
        <v/>
      </c>
      <c r="I385" s="21" t="str">
        <f>IF($L385="","",IF($C385&gt;$M385,IF(Overview!$B$26=1,"uint8","uint8["&amp;Overview!$B$26&amp;"]"),IFERROR(INDEX(Fields!$E$5:$E$48,MATCH($D385,Fields!$A$5:$A$48,0)),"MISSING")))</f>
        <v/>
      </c>
      <c r="J385" s="21" t="str">
        <f>IF($L385="","",IF($C385&gt;$M385,"Fixed end-of-frame delimiter, value "&amp;Overview!$B$25&amp;".",IFERROR(INDEX(Fields!$G$5:$G$48,MATCH($D385,Fields!$A$5:$A$48,0)),"MISSING")))</f>
        <v/>
      </c>
      <c r="K385" s="21" t="str">
        <f>IF($L385="","",IF($C385&gt;$M385,"n/a",IFERROR(INDEX(Fields!$H$5:$H$48,MATCH($D385,Fields!$A$5:$A$48,0)),"MISSING")))</f>
        <v/>
      </c>
      <c r="L385" s="23" t="str">
        <f>IF(ROWS($L$5:L385)&gt;MAX('Packet Builder'!$O$5:$O$34),"",COUNTIF('Packet Builder'!$O$5:$O$34,"&lt;"&amp;ROWS($L$5:L385))+1)</f>
        <v/>
      </c>
      <c r="M385" s="23" t="str">
        <f>IF($L385="","",INDEX('Packet Builder'!$F$5:$F$34,$L385))</f>
        <v/>
      </c>
    </row>
    <row r="386" spans="1:13" x14ac:dyDescent="0.35">
      <c r="A386" s="21" t="str">
        <f>IF($L386="","",INDEX('Packet Builder'!$A$5:$A$34,$L386))</f>
        <v/>
      </c>
      <c r="B386" s="21" t="str">
        <f>IF($L386="","",INDEX('Packet Builder'!$B$5:$B$34,$L386))</f>
        <v/>
      </c>
      <c r="C386" s="22" t="str">
        <f>IF($L386="","",ROWS($L$5:L386)-(INDEX('Packet Builder'!$O$5:$O$34,$L386)-$M386-1))</f>
        <v/>
      </c>
      <c r="D386" s="22" t="str">
        <f>IF($L386="","",IF($C386&gt;$M386,"EOF",IFERROR(VALUE(TRIM(MID(SUBSTITUTE(INDEX('Packet Builder'!$P$5:$P$34,$L386),",",REPT(" ",LEN(INDEX('Packet Builder'!$P$5:$P$34,$L386)))),($C386-1)*LEN(INDEX('Packet Builder'!$P$5:$P$34,$L386))+1,LEN(INDEX('Packet Builder'!$P$5:$P$34,$L386))))),"ERR")))</f>
        <v/>
      </c>
      <c r="E386" s="21" t="str">
        <f>IF($L386="","",IF($C386&gt;$M386,"End of Frame Delimiter",IFERROR(INDEX(Fields!$B$5:$B$48,MATCH($D386,Fields!$A$5:$A$48,0)),"MISSING")))</f>
        <v/>
      </c>
      <c r="F386" s="22" t="str">
        <f>IF($L386="","",SUMIF($L$5:L386,L386,$G$5:G386)-G386)</f>
        <v/>
      </c>
      <c r="G386" s="22" t="str">
        <f>IF($L386="","",IF($C386&gt;$M386,Overview!$B$26,IFERROR(INDEX(Fields!$F$5:$F$48,MATCH($D386,Fields!$A$5:$A$48,0)),0)))</f>
        <v/>
      </c>
      <c r="H386" s="22" t="str">
        <f t="shared" si="5"/>
        <v/>
      </c>
      <c r="I386" s="21" t="str">
        <f>IF($L386="","",IF($C386&gt;$M386,IF(Overview!$B$26=1,"uint8","uint8["&amp;Overview!$B$26&amp;"]"),IFERROR(INDEX(Fields!$E$5:$E$48,MATCH($D386,Fields!$A$5:$A$48,0)),"MISSING")))</f>
        <v/>
      </c>
      <c r="J386" s="21" t="str">
        <f>IF($L386="","",IF($C386&gt;$M386,"Fixed end-of-frame delimiter, value "&amp;Overview!$B$25&amp;".",IFERROR(INDEX(Fields!$G$5:$G$48,MATCH($D386,Fields!$A$5:$A$48,0)),"MISSING")))</f>
        <v/>
      </c>
      <c r="K386" s="21" t="str">
        <f>IF($L386="","",IF($C386&gt;$M386,"n/a",IFERROR(INDEX(Fields!$H$5:$H$48,MATCH($D386,Fields!$A$5:$A$48,0)),"MISSING")))</f>
        <v/>
      </c>
      <c r="L386" s="23" t="str">
        <f>IF(ROWS($L$5:L386)&gt;MAX('Packet Builder'!$O$5:$O$34),"",COUNTIF('Packet Builder'!$O$5:$O$34,"&lt;"&amp;ROWS($L$5:L386))+1)</f>
        <v/>
      </c>
      <c r="M386" s="23" t="str">
        <f>IF($L386="","",INDEX('Packet Builder'!$F$5:$F$34,$L386))</f>
        <v/>
      </c>
    </row>
    <row r="387" spans="1:13" x14ac:dyDescent="0.35">
      <c r="A387" s="21" t="str">
        <f>IF($L387="","",INDEX('Packet Builder'!$A$5:$A$34,$L387))</f>
        <v/>
      </c>
      <c r="B387" s="21" t="str">
        <f>IF($L387="","",INDEX('Packet Builder'!$B$5:$B$34,$L387))</f>
        <v/>
      </c>
      <c r="C387" s="22" t="str">
        <f>IF($L387="","",ROWS($L$5:L387)-(INDEX('Packet Builder'!$O$5:$O$34,$L387)-$M387-1))</f>
        <v/>
      </c>
      <c r="D387" s="22" t="str">
        <f>IF($L387="","",IF($C387&gt;$M387,"EOF",IFERROR(VALUE(TRIM(MID(SUBSTITUTE(INDEX('Packet Builder'!$P$5:$P$34,$L387),",",REPT(" ",LEN(INDEX('Packet Builder'!$P$5:$P$34,$L387)))),($C387-1)*LEN(INDEX('Packet Builder'!$P$5:$P$34,$L387))+1,LEN(INDEX('Packet Builder'!$P$5:$P$34,$L387))))),"ERR")))</f>
        <v/>
      </c>
      <c r="E387" s="21" t="str">
        <f>IF($L387="","",IF($C387&gt;$M387,"End of Frame Delimiter",IFERROR(INDEX(Fields!$B$5:$B$48,MATCH($D387,Fields!$A$5:$A$48,0)),"MISSING")))</f>
        <v/>
      </c>
      <c r="F387" s="22" t="str">
        <f>IF($L387="","",SUMIF($L$5:L387,L387,$G$5:G387)-G387)</f>
        <v/>
      </c>
      <c r="G387" s="22" t="str">
        <f>IF($L387="","",IF($C387&gt;$M387,Overview!$B$26,IFERROR(INDEX(Fields!$F$5:$F$48,MATCH($D387,Fields!$A$5:$A$48,0)),0)))</f>
        <v/>
      </c>
      <c r="H387" s="22" t="str">
        <f t="shared" si="5"/>
        <v/>
      </c>
      <c r="I387" s="21" t="str">
        <f>IF($L387="","",IF($C387&gt;$M387,IF(Overview!$B$26=1,"uint8","uint8["&amp;Overview!$B$26&amp;"]"),IFERROR(INDEX(Fields!$E$5:$E$48,MATCH($D387,Fields!$A$5:$A$48,0)),"MISSING")))</f>
        <v/>
      </c>
      <c r="J387" s="21" t="str">
        <f>IF($L387="","",IF($C387&gt;$M387,"Fixed end-of-frame delimiter, value "&amp;Overview!$B$25&amp;".",IFERROR(INDEX(Fields!$G$5:$G$48,MATCH($D387,Fields!$A$5:$A$48,0)),"MISSING")))</f>
        <v/>
      </c>
      <c r="K387" s="21" t="str">
        <f>IF($L387="","",IF($C387&gt;$M387,"n/a",IFERROR(INDEX(Fields!$H$5:$H$48,MATCH($D387,Fields!$A$5:$A$48,0)),"MISSING")))</f>
        <v/>
      </c>
      <c r="L387" s="23" t="str">
        <f>IF(ROWS($L$5:L387)&gt;MAX('Packet Builder'!$O$5:$O$34),"",COUNTIF('Packet Builder'!$O$5:$O$34,"&lt;"&amp;ROWS($L$5:L387))+1)</f>
        <v/>
      </c>
      <c r="M387" s="23" t="str">
        <f>IF($L387="","",INDEX('Packet Builder'!$F$5:$F$34,$L387))</f>
        <v/>
      </c>
    </row>
    <row r="388" spans="1:13" x14ac:dyDescent="0.35">
      <c r="A388" s="21" t="str">
        <f>IF($L388="","",INDEX('Packet Builder'!$A$5:$A$34,$L388))</f>
        <v/>
      </c>
      <c r="B388" s="21" t="str">
        <f>IF($L388="","",INDEX('Packet Builder'!$B$5:$B$34,$L388))</f>
        <v/>
      </c>
      <c r="C388" s="22" t="str">
        <f>IF($L388="","",ROWS($L$5:L388)-(INDEX('Packet Builder'!$O$5:$O$34,$L388)-$M388-1))</f>
        <v/>
      </c>
      <c r="D388" s="22" t="str">
        <f>IF($L388="","",IF($C388&gt;$M388,"EOF",IFERROR(VALUE(TRIM(MID(SUBSTITUTE(INDEX('Packet Builder'!$P$5:$P$34,$L388),",",REPT(" ",LEN(INDEX('Packet Builder'!$P$5:$P$34,$L388)))),($C388-1)*LEN(INDEX('Packet Builder'!$P$5:$P$34,$L388))+1,LEN(INDEX('Packet Builder'!$P$5:$P$34,$L388))))),"ERR")))</f>
        <v/>
      </c>
      <c r="E388" s="21" t="str">
        <f>IF($L388="","",IF($C388&gt;$M388,"End of Frame Delimiter",IFERROR(INDEX(Fields!$B$5:$B$48,MATCH($D388,Fields!$A$5:$A$48,0)),"MISSING")))</f>
        <v/>
      </c>
      <c r="F388" s="22" t="str">
        <f>IF($L388="","",SUMIF($L$5:L388,L388,$G$5:G388)-G388)</f>
        <v/>
      </c>
      <c r="G388" s="22" t="str">
        <f>IF($L388="","",IF($C388&gt;$M388,Overview!$B$26,IFERROR(INDEX(Fields!$F$5:$F$48,MATCH($D388,Fields!$A$5:$A$48,0)),0)))</f>
        <v/>
      </c>
      <c r="H388" s="22" t="str">
        <f t="shared" si="5"/>
        <v/>
      </c>
      <c r="I388" s="21" t="str">
        <f>IF($L388="","",IF($C388&gt;$M388,IF(Overview!$B$26=1,"uint8","uint8["&amp;Overview!$B$26&amp;"]"),IFERROR(INDEX(Fields!$E$5:$E$48,MATCH($D388,Fields!$A$5:$A$48,0)),"MISSING")))</f>
        <v/>
      </c>
      <c r="J388" s="21" t="str">
        <f>IF($L388="","",IF($C388&gt;$M388,"Fixed end-of-frame delimiter, value "&amp;Overview!$B$25&amp;".",IFERROR(INDEX(Fields!$G$5:$G$48,MATCH($D388,Fields!$A$5:$A$48,0)),"MISSING")))</f>
        <v/>
      </c>
      <c r="K388" s="21" t="str">
        <f>IF($L388="","",IF($C388&gt;$M388,"n/a",IFERROR(INDEX(Fields!$H$5:$H$48,MATCH($D388,Fields!$A$5:$A$48,0)),"MISSING")))</f>
        <v/>
      </c>
      <c r="L388" s="23" t="str">
        <f>IF(ROWS($L$5:L388)&gt;MAX('Packet Builder'!$O$5:$O$34),"",COUNTIF('Packet Builder'!$O$5:$O$34,"&lt;"&amp;ROWS($L$5:L388))+1)</f>
        <v/>
      </c>
      <c r="M388" s="23" t="str">
        <f>IF($L388="","",INDEX('Packet Builder'!$F$5:$F$34,$L388))</f>
        <v/>
      </c>
    </row>
    <row r="389" spans="1:13" x14ac:dyDescent="0.35">
      <c r="A389" s="21" t="str">
        <f>IF($L389="","",INDEX('Packet Builder'!$A$5:$A$34,$L389))</f>
        <v/>
      </c>
      <c r="B389" s="21" t="str">
        <f>IF($L389="","",INDEX('Packet Builder'!$B$5:$B$34,$L389))</f>
        <v/>
      </c>
      <c r="C389" s="22" t="str">
        <f>IF($L389="","",ROWS($L$5:L389)-(INDEX('Packet Builder'!$O$5:$O$34,$L389)-$M389-1))</f>
        <v/>
      </c>
      <c r="D389" s="22" t="str">
        <f>IF($L389="","",IF($C389&gt;$M389,"EOF",IFERROR(VALUE(TRIM(MID(SUBSTITUTE(INDEX('Packet Builder'!$P$5:$P$34,$L389),",",REPT(" ",LEN(INDEX('Packet Builder'!$P$5:$P$34,$L389)))),($C389-1)*LEN(INDEX('Packet Builder'!$P$5:$P$34,$L389))+1,LEN(INDEX('Packet Builder'!$P$5:$P$34,$L389))))),"ERR")))</f>
        <v/>
      </c>
      <c r="E389" s="21" t="str">
        <f>IF($L389="","",IF($C389&gt;$M389,"End of Frame Delimiter",IFERROR(INDEX(Fields!$B$5:$B$48,MATCH($D389,Fields!$A$5:$A$48,0)),"MISSING")))</f>
        <v/>
      </c>
      <c r="F389" s="22" t="str">
        <f>IF($L389="","",SUMIF($L$5:L389,L389,$G$5:G389)-G389)</f>
        <v/>
      </c>
      <c r="G389" s="22" t="str">
        <f>IF($L389="","",IF($C389&gt;$M389,Overview!$B$26,IFERROR(INDEX(Fields!$F$5:$F$48,MATCH($D389,Fields!$A$5:$A$48,0)),0)))</f>
        <v/>
      </c>
      <c r="H389" s="22" t="str">
        <f t="shared" ref="H389:H404" si="6">IF($L389="","",F389+G389-1)</f>
        <v/>
      </c>
      <c r="I389" s="21" t="str">
        <f>IF($L389="","",IF($C389&gt;$M389,IF(Overview!$B$26=1,"uint8","uint8["&amp;Overview!$B$26&amp;"]"),IFERROR(INDEX(Fields!$E$5:$E$48,MATCH($D389,Fields!$A$5:$A$48,0)),"MISSING")))</f>
        <v/>
      </c>
      <c r="J389" s="21" t="str">
        <f>IF($L389="","",IF($C389&gt;$M389,"Fixed end-of-frame delimiter, value "&amp;Overview!$B$25&amp;".",IFERROR(INDEX(Fields!$G$5:$G$48,MATCH($D389,Fields!$A$5:$A$48,0)),"MISSING")))</f>
        <v/>
      </c>
      <c r="K389" s="21" t="str">
        <f>IF($L389="","",IF($C389&gt;$M389,"n/a",IFERROR(INDEX(Fields!$H$5:$H$48,MATCH($D389,Fields!$A$5:$A$48,0)),"MISSING")))</f>
        <v/>
      </c>
      <c r="L389" s="23" t="str">
        <f>IF(ROWS($L$5:L389)&gt;MAX('Packet Builder'!$O$5:$O$34),"",COUNTIF('Packet Builder'!$O$5:$O$34,"&lt;"&amp;ROWS($L$5:L389))+1)</f>
        <v/>
      </c>
      <c r="M389" s="23" t="str">
        <f>IF($L389="","",INDEX('Packet Builder'!$F$5:$F$34,$L389))</f>
        <v/>
      </c>
    </row>
    <row r="390" spans="1:13" x14ac:dyDescent="0.35">
      <c r="A390" s="21" t="str">
        <f>IF($L390="","",INDEX('Packet Builder'!$A$5:$A$34,$L390))</f>
        <v/>
      </c>
      <c r="B390" s="21" t="str">
        <f>IF($L390="","",INDEX('Packet Builder'!$B$5:$B$34,$L390))</f>
        <v/>
      </c>
      <c r="C390" s="22" t="str">
        <f>IF($L390="","",ROWS($L$5:L390)-(INDEX('Packet Builder'!$O$5:$O$34,$L390)-$M390-1))</f>
        <v/>
      </c>
      <c r="D390" s="22" t="str">
        <f>IF($L390="","",IF($C390&gt;$M390,"EOF",IFERROR(VALUE(TRIM(MID(SUBSTITUTE(INDEX('Packet Builder'!$P$5:$P$34,$L390),",",REPT(" ",LEN(INDEX('Packet Builder'!$P$5:$P$34,$L390)))),($C390-1)*LEN(INDEX('Packet Builder'!$P$5:$P$34,$L390))+1,LEN(INDEX('Packet Builder'!$P$5:$P$34,$L390))))),"ERR")))</f>
        <v/>
      </c>
      <c r="E390" s="21" t="str">
        <f>IF($L390="","",IF($C390&gt;$M390,"End of Frame Delimiter",IFERROR(INDEX(Fields!$B$5:$B$48,MATCH($D390,Fields!$A$5:$A$48,0)),"MISSING")))</f>
        <v/>
      </c>
      <c r="F390" s="22" t="str">
        <f>IF($L390="","",SUMIF($L$5:L390,L390,$G$5:G390)-G390)</f>
        <v/>
      </c>
      <c r="G390" s="22" t="str">
        <f>IF($L390="","",IF($C390&gt;$M390,Overview!$B$26,IFERROR(INDEX(Fields!$F$5:$F$48,MATCH($D390,Fields!$A$5:$A$48,0)),0)))</f>
        <v/>
      </c>
      <c r="H390" s="22" t="str">
        <f t="shared" si="6"/>
        <v/>
      </c>
      <c r="I390" s="21" t="str">
        <f>IF($L390="","",IF($C390&gt;$M390,IF(Overview!$B$26=1,"uint8","uint8["&amp;Overview!$B$26&amp;"]"),IFERROR(INDEX(Fields!$E$5:$E$48,MATCH($D390,Fields!$A$5:$A$48,0)),"MISSING")))</f>
        <v/>
      </c>
      <c r="J390" s="21" t="str">
        <f>IF($L390="","",IF($C390&gt;$M390,"Fixed end-of-frame delimiter, value "&amp;Overview!$B$25&amp;".",IFERROR(INDEX(Fields!$G$5:$G$48,MATCH($D390,Fields!$A$5:$A$48,0)),"MISSING")))</f>
        <v/>
      </c>
      <c r="K390" s="21" t="str">
        <f>IF($L390="","",IF($C390&gt;$M390,"n/a",IFERROR(INDEX(Fields!$H$5:$H$48,MATCH($D390,Fields!$A$5:$A$48,0)),"MISSING")))</f>
        <v/>
      </c>
      <c r="L390" s="23" t="str">
        <f>IF(ROWS($L$5:L390)&gt;MAX('Packet Builder'!$O$5:$O$34),"",COUNTIF('Packet Builder'!$O$5:$O$34,"&lt;"&amp;ROWS($L$5:L390))+1)</f>
        <v/>
      </c>
      <c r="M390" s="23" t="str">
        <f>IF($L390="","",INDEX('Packet Builder'!$F$5:$F$34,$L390))</f>
        <v/>
      </c>
    </row>
    <row r="391" spans="1:13" x14ac:dyDescent="0.35">
      <c r="A391" s="21" t="str">
        <f>IF($L391="","",INDEX('Packet Builder'!$A$5:$A$34,$L391))</f>
        <v/>
      </c>
      <c r="B391" s="21" t="str">
        <f>IF($L391="","",INDEX('Packet Builder'!$B$5:$B$34,$L391))</f>
        <v/>
      </c>
      <c r="C391" s="22" t="str">
        <f>IF($L391="","",ROWS($L$5:L391)-(INDEX('Packet Builder'!$O$5:$O$34,$L391)-$M391-1))</f>
        <v/>
      </c>
      <c r="D391" s="22" t="str">
        <f>IF($L391="","",IF($C391&gt;$M391,"EOF",IFERROR(VALUE(TRIM(MID(SUBSTITUTE(INDEX('Packet Builder'!$P$5:$P$34,$L391),",",REPT(" ",LEN(INDEX('Packet Builder'!$P$5:$P$34,$L391)))),($C391-1)*LEN(INDEX('Packet Builder'!$P$5:$P$34,$L391))+1,LEN(INDEX('Packet Builder'!$P$5:$P$34,$L391))))),"ERR")))</f>
        <v/>
      </c>
      <c r="E391" s="21" t="str">
        <f>IF($L391="","",IF($C391&gt;$M391,"End of Frame Delimiter",IFERROR(INDEX(Fields!$B$5:$B$48,MATCH($D391,Fields!$A$5:$A$48,0)),"MISSING")))</f>
        <v/>
      </c>
      <c r="F391" s="22" t="str">
        <f>IF($L391="","",SUMIF($L$5:L391,L391,$G$5:G391)-G391)</f>
        <v/>
      </c>
      <c r="G391" s="22" t="str">
        <f>IF($L391="","",IF($C391&gt;$M391,Overview!$B$26,IFERROR(INDEX(Fields!$F$5:$F$48,MATCH($D391,Fields!$A$5:$A$48,0)),0)))</f>
        <v/>
      </c>
      <c r="H391" s="22" t="str">
        <f t="shared" si="6"/>
        <v/>
      </c>
      <c r="I391" s="21" t="str">
        <f>IF($L391="","",IF($C391&gt;$M391,IF(Overview!$B$26=1,"uint8","uint8["&amp;Overview!$B$26&amp;"]"),IFERROR(INDEX(Fields!$E$5:$E$48,MATCH($D391,Fields!$A$5:$A$48,0)),"MISSING")))</f>
        <v/>
      </c>
      <c r="J391" s="21" t="str">
        <f>IF($L391="","",IF($C391&gt;$M391,"Fixed end-of-frame delimiter, value "&amp;Overview!$B$25&amp;".",IFERROR(INDEX(Fields!$G$5:$G$48,MATCH($D391,Fields!$A$5:$A$48,0)),"MISSING")))</f>
        <v/>
      </c>
      <c r="K391" s="21" t="str">
        <f>IF($L391="","",IF($C391&gt;$M391,"n/a",IFERROR(INDEX(Fields!$H$5:$H$48,MATCH($D391,Fields!$A$5:$A$48,0)),"MISSING")))</f>
        <v/>
      </c>
      <c r="L391" s="23" t="str">
        <f>IF(ROWS($L$5:L391)&gt;MAX('Packet Builder'!$O$5:$O$34),"",COUNTIF('Packet Builder'!$O$5:$O$34,"&lt;"&amp;ROWS($L$5:L391))+1)</f>
        <v/>
      </c>
      <c r="M391" s="23" t="str">
        <f>IF($L391="","",INDEX('Packet Builder'!$F$5:$F$34,$L391))</f>
        <v/>
      </c>
    </row>
    <row r="392" spans="1:13" x14ac:dyDescent="0.35">
      <c r="A392" s="21" t="str">
        <f>IF($L392="","",INDEX('Packet Builder'!$A$5:$A$34,$L392))</f>
        <v/>
      </c>
      <c r="B392" s="21" t="str">
        <f>IF($L392="","",INDEX('Packet Builder'!$B$5:$B$34,$L392))</f>
        <v/>
      </c>
      <c r="C392" s="22" t="str">
        <f>IF($L392="","",ROWS($L$5:L392)-(INDEX('Packet Builder'!$O$5:$O$34,$L392)-$M392-1))</f>
        <v/>
      </c>
      <c r="D392" s="22" t="str">
        <f>IF($L392="","",IF($C392&gt;$M392,"EOF",IFERROR(VALUE(TRIM(MID(SUBSTITUTE(INDEX('Packet Builder'!$P$5:$P$34,$L392),",",REPT(" ",LEN(INDEX('Packet Builder'!$P$5:$P$34,$L392)))),($C392-1)*LEN(INDEX('Packet Builder'!$P$5:$P$34,$L392))+1,LEN(INDEX('Packet Builder'!$P$5:$P$34,$L392))))),"ERR")))</f>
        <v/>
      </c>
      <c r="E392" s="21" t="str">
        <f>IF($L392="","",IF($C392&gt;$M392,"End of Frame Delimiter",IFERROR(INDEX(Fields!$B$5:$B$48,MATCH($D392,Fields!$A$5:$A$48,0)),"MISSING")))</f>
        <v/>
      </c>
      <c r="F392" s="22" t="str">
        <f>IF($L392="","",SUMIF($L$5:L392,L392,$G$5:G392)-G392)</f>
        <v/>
      </c>
      <c r="G392" s="22" t="str">
        <f>IF($L392="","",IF($C392&gt;$M392,Overview!$B$26,IFERROR(INDEX(Fields!$F$5:$F$48,MATCH($D392,Fields!$A$5:$A$48,0)),0)))</f>
        <v/>
      </c>
      <c r="H392" s="22" t="str">
        <f t="shared" si="6"/>
        <v/>
      </c>
      <c r="I392" s="21" t="str">
        <f>IF($L392="","",IF($C392&gt;$M392,IF(Overview!$B$26=1,"uint8","uint8["&amp;Overview!$B$26&amp;"]"),IFERROR(INDEX(Fields!$E$5:$E$48,MATCH($D392,Fields!$A$5:$A$48,0)),"MISSING")))</f>
        <v/>
      </c>
      <c r="J392" s="21" t="str">
        <f>IF($L392="","",IF($C392&gt;$M392,"Fixed end-of-frame delimiter, value "&amp;Overview!$B$25&amp;".",IFERROR(INDEX(Fields!$G$5:$G$48,MATCH($D392,Fields!$A$5:$A$48,0)),"MISSING")))</f>
        <v/>
      </c>
      <c r="K392" s="21" t="str">
        <f>IF($L392="","",IF($C392&gt;$M392,"n/a",IFERROR(INDEX(Fields!$H$5:$H$48,MATCH($D392,Fields!$A$5:$A$48,0)),"MISSING")))</f>
        <v/>
      </c>
      <c r="L392" s="23" t="str">
        <f>IF(ROWS($L$5:L392)&gt;MAX('Packet Builder'!$O$5:$O$34),"",COUNTIF('Packet Builder'!$O$5:$O$34,"&lt;"&amp;ROWS($L$5:L392))+1)</f>
        <v/>
      </c>
      <c r="M392" s="23" t="str">
        <f>IF($L392="","",INDEX('Packet Builder'!$F$5:$F$34,$L392))</f>
        <v/>
      </c>
    </row>
    <row r="393" spans="1:13" x14ac:dyDescent="0.35">
      <c r="A393" s="21" t="str">
        <f>IF($L393="","",INDEX('Packet Builder'!$A$5:$A$34,$L393))</f>
        <v/>
      </c>
      <c r="B393" s="21" t="str">
        <f>IF($L393="","",INDEX('Packet Builder'!$B$5:$B$34,$L393))</f>
        <v/>
      </c>
      <c r="C393" s="22" t="str">
        <f>IF($L393="","",ROWS($L$5:L393)-(INDEX('Packet Builder'!$O$5:$O$34,$L393)-$M393-1))</f>
        <v/>
      </c>
      <c r="D393" s="22" t="str">
        <f>IF($L393="","",IF($C393&gt;$M393,"EOF",IFERROR(VALUE(TRIM(MID(SUBSTITUTE(INDEX('Packet Builder'!$P$5:$P$34,$L393),",",REPT(" ",LEN(INDEX('Packet Builder'!$P$5:$P$34,$L393)))),($C393-1)*LEN(INDEX('Packet Builder'!$P$5:$P$34,$L393))+1,LEN(INDEX('Packet Builder'!$P$5:$P$34,$L393))))),"ERR")))</f>
        <v/>
      </c>
      <c r="E393" s="21" t="str">
        <f>IF($L393="","",IF($C393&gt;$M393,"End of Frame Delimiter",IFERROR(INDEX(Fields!$B$5:$B$48,MATCH($D393,Fields!$A$5:$A$48,0)),"MISSING")))</f>
        <v/>
      </c>
      <c r="F393" s="22" t="str">
        <f>IF($L393="","",SUMIF($L$5:L393,L393,$G$5:G393)-G393)</f>
        <v/>
      </c>
      <c r="G393" s="22" t="str">
        <f>IF($L393="","",IF($C393&gt;$M393,Overview!$B$26,IFERROR(INDEX(Fields!$F$5:$F$48,MATCH($D393,Fields!$A$5:$A$48,0)),0)))</f>
        <v/>
      </c>
      <c r="H393" s="22" t="str">
        <f t="shared" si="6"/>
        <v/>
      </c>
      <c r="I393" s="21" t="str">
        <f>IF($L393="","",IF($C393&gt;$M393,IF(Overview!$B$26=1,"uint8","uint8["&amp;Overview!$B$26&amp;"]"),IFERROR(INDEX(Fields!$E$5:$E$48,MATCH($D393,Fields!$A$5:$A$48,0)),"MISSING")))</f>
        <v/>
      </c>
      <c r="J393" s="21" t="str">
        <f>IF($L393="","",IF($C393&gt;$M393,"Fixed end-of-frame delimiter, value "&amp;Overview!$B$25&amp;".",IFERROR(INDEX(Fields!$G$5:$G$48,MATCH($D393,Fields!$A$5:$A$48,0)),"MISSING")))</f>
        <v/>
      </c>
      <c r="K393" s="21" t="str">
        <f>IF($L393="","",IF($C393&gt;$M393,"n/a",IFERROR(INDEX(Fields!$H$5:$H$48,MATCH($D393,Fields!$A$5:$A$48,0)),"MISSING")))</f>
        <v/>
      </c>
      <c r="L393" s="23" t="str">
        <f>IF(ROWS($L$5:L393)&gt;MAX('Packet Builder'!$O$5:$O$34),"",COUNTIF('Packet Builder'!$O$5:$O$34,"&lt;"&amp;ROWS($L$5:L393))+1)</f>
        <v/>
      </c>
      <c r="M393" s="23" t="str">
        <f>IF($L393="","",INDEX('Packet Builder'!$F$5:$F$34,$L393))</f>
        <v/>
      </c>
    </row>
    <row r="394" spans="1:13" x14ac:dyDescent="0.35">
      <c r="A394" s="21" t="str">
        <f>IF($L394="","",INDEX('Packet Builder'!$A$5:$A$34,$L394))</f>
        <v/>
      </c>
      <c r="B394" s="21" t="str">
        <f>IF($L394="","",INDEX('Packet Builder'!$B$5:$B$34,$L394))</f>
        <v/>
      </c>
      <c r="C394" s="22" t="str">
        <f>IF($L394="","",ROWS($L$5:L394)-(INDEX('Packet Builder'!$O$5:$O$34,$L394)-$M394-1))</f>
        <v/>
      </c>
      <c r="D394" s="22" t="str">
        <f>IF($L394="","",IF($C394&gt;$M394,"EOF",IFERROR(VALUE(TRIM(MID(SUBSTITUTE(INDEX('Packet Builder'!$P$5:$P$34,$L394),",",REPT(" ",LEN(INDEX('Packet Builder'!$P$5:$P$34,$L394)))),($C394-1)*LEN(INDEX('Packet Builder'!$P$5:$P$34,$L394))+1,LEN(INDEX('Packet Builder'!$P$5:$P$34,$L394))))),"ERR")))</f>
        <v/>
      </c>
      <c r="E394" s="21" t="str">
        <f>IF($L394="","",IF($C394&gt;$M394,"End of Frame Delimiter",IFERROR(INDEX(Fields!$B$5:$B$48,MATCH($D394,Fields!$A$5:$A$48,0)),"MISSING")))</f>
        <v/>
      </c>
      <c r="F394" s="22" t="str">
        <f>IF($L394="","",SUMIF($L$5:L394,L394,$G$5:G394)-G394)</f>
        <v/>
      </c>
      <c r="G394" s="22" t="str">
        <f>IF($L394="","",IF($C394&gt;$M394,Overview!$B$26,IFERROR(INDEX(Fields!$F$5:$F$48,MATCH($D394,Fields!$A$5:$A$48,0)),0)))</f>
        <v/>
      </c>
      <c r="H394" s="22" t="str">
        <f t="shared" si="6"/>
        <v/>
      </c>
      <c r="I394" s="21" t="str">
        <f>IF($L394="","",IF($C394&gt;$M394,IF(Overview!$B$26=1,"uint8","uint8["&amp;Overview!$B$26&amp;"]"),IFERROR(INDEX(Fields!$E$5:$E$48,MATCH($D394,Fields!$A$5:$A$48,0)),"MISSING")))</f>
        <v/>
      </c>
      <c r="J394" s="21" t="str">
        <f>IF($L394="","",IF($C394&gt;$M394,"Fixed end-of-frame delimiter, value "&amp;Overview!$B$25&amp;".",IFERROR(INDEX(Fields!$G$5:$G$48,MATCH($D394,Fields!$A$5:$A$48,0)),"MISSING")))</f>
        <v/>
      </c>
      <c r="K394" s="21" t="str">
        <f>IF($L394="","",IF($C394&gt;$M394,"n/a",IFERROR(INDEX(Fields!$H$5:$H$48,MATCH($D394,Fields!$A$5:$A$48,0)),"MISSING")))</f>
        <v/>
      </c>
      <c r="L394" s="23" t="str">
        <f>IF(ROWS($L$5:L394)&gt;MAX('Packet Builder'!$O$5:$O$34),"",COUNTIF('Packet Builder'!$O$5:$O$34,"&lt;"&amp;ROWS($L$5:L394))+1)</f>
        <v/>
      </c>
      <c r="M394" s="23" t="str">
        <f>IF($L394="","",INDEX('Packet Builder'!$F$5:$F$34,$L394))</f>
        <v/>
      </c>
    </row>
    <row r="395" spans="1:13" x14ac:dyDescent="0.35">
      <c r="A395" s="21" t="str">
        <f>IF($L395="","",INDEX('Packet Builder'!$A$5:$A$34,$L395))</f>
        <v/>
      </c>
      <c r="B395" s="21" t="str">
        <f>IF($L395="","",INDEX('Packet Builder'!$B$5:$B$34,$L395))</f>
        <v/>
      </c>
      <c r="C395" s="22" t="str">
        <f>IF($L395="","",ROWS($L$5:L395)-(INDEX('Packet Builder'!$O$5:$O$34,$L395)-$M395-1))</f>
        <v/>
      </c>
      <c r="D395" s="22" t="str">
        <f>IF($L395="","",IF($C395&gt;$M395,"EOF",IFERROR(VALUE(TRIM(MID(SUBSTITUTE(INDEX('Packet Builder'!$P$5:$P$34,$L395),",",REPT(" ",LEN(INDEX('Packet Builder'!$P$5:$P$34,$L395)))),($C395-1)*LEN(INDEX('Packet Builder'!$P$5:$P$34,$L395))+1,LEN(INDEX('Packet Builder'!$P$5:$P$34,$L395))))),"ERR")))</f>
        <v/>
      </c>
      <c r="E395" s="21" t="str">
        <f>IF($L395="","",IF($C395&gt;$M395,"End of Frame Delimiter",IFERROR(INDEX(Fields!$B$5:$B$48,MATCH($D395,Fields!$A$5:$A$48,0)),"MISSING")))</f>
        <v/>
      </c>
      <c r="F395" s="22" t="str">
        <f>IF($L395="","",SUMIF($L$5:L395,L395,$G$5:G395)-G395)</f>
        <v/>
      </c>
      <c r="G395" s="22" t="str">
        <f>IF($L395="","",IF($C395&gt;$M395,Overview!$B$26,IFERROR(INDEX(Fields!$F$5:$F$48,MATCH($D395,Fields!$A$5:$A$48,0)),0)))</f>
        <v/>
      </c>
      <c r="H395" s="22" t="str">
        <f t="shared" si="6"/>
        <v/>
      </c>
      <c r="I395" s="21" t="str">
        <f>IF($L395="","",IF($C395&gt;$M395,IF(Overview!$B$26=1,"uint8","uint8["&amp;Overview!$B$26&amp;"]"),IFERROR(INDEX(Fields!$E$5:$E$48,MATCH($D395,Fields!$A$5:$A$48,0)),"MISSING")))</f>
        <v/>
      </c>
      <c r="J395" s="21" t="str">
        <f>IF($L395="","",IF($C395&gt;$M395,"Fixed end-of-frame delimiter, value "&amp;Overview!$B$25&amp;".",IFERROR(INDEX(Fields!$G$5:$G$48,MATCH($D395,Fields!$A$5:$A$48,0)),"MISSING")))</f>
        <v/>
      </c>
      <c r="K395" s="21" t="str">
        <f>IF($L395="","",IF($C395&gt;$M395,"n/a",IFERROR(INDEX(Fields!$H$5:$H$48,MATCH($D395,Fields!$A$5:$A$48,0)),"MISSING")))</f>
        <v/>
      </c>
      <c r="L395" s="23" t="str">
        <f>IF(ROWS($L$5:L395)&gt;MAX('Packet Builder'!$O$5:$O$34),"",COUNTIF('Packet Builder'!$O$5:$O$34,"&lt;"&amp;ROWS($L$5:L395))+1)</f>
        <v/>
      </c>
      <c r="M395" s="23" t="str">
        <f>IF($L395="","",INDEX('Packet Builder'!$F$5:$F$34,$L395))</f>
        <v/>
      </c>
    </row>
    <row r="396" spans="1:13" x14ac:dyDescent="0.35">
      <c r="A396" s="21" t="str">
        <f>IF($L396="","",INDEX('Packet Builder'!$A$5:$A$34,$L396))</f>
        <v/>
      </c>
      <c r="B396" s="21" t="str">
        <f>IF($L396="","",INDEX('Packet Builder'!$B$5:$B$34,$L396))</f>
        <v/>
      </c>
      <c r="C396" s="22" t="str">
        <f>IF($L396="","",ROWS($L$5:L396)-(INDEX('Packet Builder'!$O$5:$O$34,$L396)-$M396-1))</f>
        <v/>
      </c>
      <c r="D396" s="22" t="str">
        <f>IF($L396="","",IF($C396&gt;$M396,"EOF",IFERROR(VALUE(TRIM(MID(SUBSTITUTE(INDEX('Packet Builder'!$P$5:$P$34,$L396),",",REPT(" ",LEN(INDEX('Packet Builder'!$P$5:$P$34,$L396)))),($C396-1)*LEN(INDEX('Packet Builder'!$P$5:$P$34,$L396))+1,LEN(INDEX('Packet Builder'!$P$5:$P$34,$L396))))),"ERR")))</f>
        <v/>
      </c>
      <c r="E396" s="21" t="str">
        <f>IF($L396="","",IF($C396&gt;$M396,"End of Frame Delimiter",IFERROR(INDEX(Fields!$B$5:$B$48,MATCH($D396,Fields!$A$5:$A$48,0)),"MISSING")))</f>
        <v/>
      </c>
      <c r="F396" s="22" t="str">
        <f>IF($L396="","",SUMIF($L$5:L396,L396,$G$5:G396)-G396)</f>
        <v/>
      </c>
      <c r="G396" s="22" t="str">
        <f>IF($L396="","",IF($C396&gt;$M396,Overview!$B$26,IFERROR(INDEX(Fields!$F$5:$F$48,MATCH($D396,Fields!$A$5:$A$48,0)),0)))</f>
        <v/>
      </c>
      <c r="H396" s="22" t="str">
        <f t="shared" si="6"/>
        <v/>
      </c>
      <c r="I396" s="21" t="str">
        <f>IF($L396="","",IF($C396&gt;$M396,IF(Overview!$B$26=1,"uint8","uint8["&amp;Overview!$B$26&amp;"]"),IFERROR(INDEX(Fields!$E$5:$E$48,MATCH($D396,Fields!$A$5:$A$48,0)),"MISSING")))</f>
        <v/>
      </c>
      <c r="J396" s="21" t="str">
        <f>IF($L396="","",IF($C396&gt;$M396,"Fixed end-of-frame delimiter, value "&amp;Overview!$B$25&amp;".",IFERROR(INDEX(Fields!$G$5:$G$48,MATCH($D396,Fields!$A$5:$A$48,0)),"MISSING")))</f>
        <v/>
      </c>
      <c r="K396" s="21" t="str">
        <f>IF($L396="","",IF($C396&gt;$M396,"n/a",IFERROR(INDEX(Fields!$H$5:$H$48,MATCH($D396,Fields!$A$5:$A$48,0)),"MISSING")))</f>
        <v/>
      </c>
      <c r="L396" s="23" t="str">
        <f>IF(ROWS($L$5:L396)&gt;MAX('Packet Builder'!$O$5:$O$34),"",COUNTIF('Packet Builder'!$O$5:$O$34,"&lt;"&amp;ROWS($L$5:L396))+1)</f>
        <v/>
      </c>
      <c r="M396" s="23" t="str">
        <f>IF($L396="","",INDEX('Packet Builder'!$F$5:$F$34,$L396))</f>
        <v/>
      </c>
    </row>
    <row r="397" spans="1:13" x14ac:dyDescent="0.35">
      <c r="A397" s="21" t="str">
        <f>IF($L397="","",INDEX('Packet Builder'!$A$5:$A$34,$L397))</f>
        <v/>
      </c>
      <c r="B397" s="21" t="str">
        <f>IF($L397="","",INDEX('Packet Builder'!$B$5:$B$34,$L397))</f>
        <v/>
      </c>
      <c r="C397" s="22" t="str">
        <f>IF($L397="","",ROWS($L$5:L397)-(INDEX('Packet Builder'!$O$5:$O$34,$L397)-$M397-1))</f>
        <v/>
      </c>
      <c r="D397" s="22" t="str">
        <f>IF($L397="","",IF($C397&gt;$M397,"EOF",IFERROR(VALUE(TRIM(MID(SUBSTITUTE(INDEX('Packet Builder'!$P$5:$P$34,$L397),",",REPT(" ",LEN(INDEX('Packet Builder'!$P$5:$P$34,$L397)))),($C397-1)*LEN(INDEX('Packet Builder'!$P$5:$P$34,$L397))+1,LEN(INDEX('Packet Builder'!$P$5:$P$34,$L397))))),"ERR")))</f>
        <v/>
      </c>
      <c r="E397" s="21" t="str">
        <f>IF($L397="","",IF($C397&gt;$M397,"End of Frame Delimiter",IFERROR(INDEX(Fields!$B$5:$B$48,MATCH($D397,Fields!$A$5:$A$48,0)),"MISSING")))</f>
        <v/>
      </c>
      <c r="F397" s="22" t="str">
        <f>IF($L397="","",SUMIF($L$5:L397,L397,$G$5:G397)-G397)</f>
        <v/>
      </c>
      <c r="G397" s="22" t="str">
        <f>IF($L397="","",IF($C397&gt;$M397,Overview!$B$26,IFERROR(INDEX(Fields!$F$5:$F$48,MATCH($D397,Fields!$A$5:$A$48,0)),0)))</f>
        <v/>
      </c>
      <c r="H397" s="22" t="str">
        <f t="shared" si="6"/>
        <v/>
      </c>
      <c r="I397" s="21" t="str">
        <f>IF($L397="","",IF($C397&gt;$M397,IF(Overview!$B$26=1,"uint8","uint8["&amp;Overview!$B$26&amp;"]"),IFERROR(INDEX(Fields!$E$5:$E$48,MATCH($D397,Fields!$A$5:$A$48,0)),"MISSING")))</f>
        <v/>
      </c>
      <c r="J397" s="21" t="str">
        <f>IF($L397="","",IF($C397&gt;$M397,"Fixed end-of-frame delimiter, value "&amp;Overview!$B$25&amp;".",IFERROR(INDEX(Fields!$G$5:$G$48,MATCH($D397,Fields!$A$5:$A$48,0)),"MISSING")))</f>
        <v/>
      </c>
      <c r="K397" s="21" t="str">
        <f>IF($L397="","",IF($C397&gt;$M397,"n/a",IFERROR(INDEX(Fields!$H$5:$H$48,MATCH($D397,Fields!$A$5:$A$48,0)),"MISSING")))</f>
        <v/>
      </c>
      <c r="L397" s="23" t="str">
        <f>IF(ROWS($L$5:L397)&gt;MAX('Packet Builder'!$O$5:$O$34),"",COUNTIF('Packet Builder'!$O$5:$O$34,"&lt;"&amp;ROWS($L$5:L397))+1)</f>
        <v/>
      </c>
      <c r="M397" s="23" t="str">
        <f>IF($L397="","",INDEX('Packet Builder'!$F$5:$F$34,$L397))</f>
        <v/>
      </c>
    </row>
    <row r="398" spans="1:13" x14ac:dyDescent="0.35">
      <c r="A398" s="21" t="str">
        <f>IF($L398="","",INDEX('Packet Builder'!$A$5:$A$34,$L398))</f>
        <v/>
      </c>
      <c r="B398" s="21" t="str">
        <f>IF($L398="","",INDEX('Packet Builder'!$B$5:$B$34,$L398))</f>
        <v/>
      </c>
      <c r="C398" s="22" t="str">
        <f>IF($L398="","",ROWS($L$5:L398)-(INDEX('Packet Builder'!$O$5:$O$34,$L398)-$M398-1))</f>
        <v/>
      </c>
      <c r="D398" s="22" t="str">
        <f>IF($L398="","",IF($C398&gt;$M398,"EOF",IFERROR(VALUE(TRIM(MID(SUBSTITUTE(INDEX('Packet Builder'!$P$5:$P$34,$L398),",",REPT(" ",LEN(INDEX('Packet Builder'!$P$5:$P$34,$L398)))),($C398-1)*LEN(INDEX('Packet Builder'!$P$5:$P$34,$L398))+1,LEN(INDEX('Packet Builder'!$P$5:$P$34,$L398))))),"ERR")))</f>
        <v/>
      </c>
      <c r="E398" s="21" t="str">
        <f>IF($L398="","",IF($C398&gt;$M398,"End of Frame Delimiter",IFERROR(INDEX(Fields!$B$5:$B$48,MATCH($D398,Fields!$A$5:$A$48,0)),"MISSING")))</f>
        <v/>
      </c>
      <c r="F398" s="22" t="str">
        <f>IF($L398="","",SUMIF($L$5:L398,L398,$G$5:G398)-G398)</f>
        <v/>
      </c>
      <c r="G398" s="22" t="str">
        <f>IF($L398="","",IF($C398&gt;$M398,Overview!$B$26,IFERROR(INDEX(Fields!$F$5:$F$48,MATCH($D398,Fields!$A$5:$A$48,0)),0)))</f>
        <v/>
      </c>
      <c r="H398" s="22" t="str">
        <f t="shared" si="6"/>
        <v/>
      </c>
      <c r="I398" s="21" t="str">
        <f>IF($L398="","",IF($C398&gt;$M398,IF(Overview!$B$26=1,"uint8","uint8["&amp;Overview!$B$26&amp;"]"),IFERROR(INDEX(Fields!$E$5:$E$48,MATCH($D398,Fields!$A$5:$A$48,0)),"MISSING")))</f>
        <v/>
      </c>
      <c r="J398" s="21" t="str">
        <f>IF($L398="","",IF($C398&gt;$M398,"Fixed end-of-frame delimiter, value "&amp;Overview!$B$25&amp;".",IFERROR(INDEX(Fields!$G$5:$G$48,MATCH($D398,Fields!$A$5:$A$48,0)),"MISSING")))</f>
        <v/>
      </c>
      <c r="K398" s="21" t="str">
        <f>IF($L398="","",IF($C398&gt;$M398,"n/a",IFERROR(INDEX(Fields!$H$5:$H$48,MATCH($D398,Fields!$A$5:$A$48,0)),"MISSING")))</f>
        <v/>
      </c>
      <c r="L398" s="23" t="str">
        <f>IF(ROWS($L$5:L398)&gt;MAX('Packet Builder'!$O$5:$O$34),"",COUNTIF('Packet Builder'!$O$5:$O$34,"&lt;"&amp;ROWS($L$5:L398))+1)</f>
        <v/>
      </c>
      <c r="M398" s="23" t="str">
        <f>IF($L398="","",INDEX('Packet Builder'!$F$5:$F$34,$L398))</f>
        <v/>
      </c>
    </row>
    <row r="399" spans="1:13" x14ac:dyDescent="0.35">
      <c r="A399" s="21" t="str">
        <f>IF($L399="","",INDEX('Packet Builder'!$A$5:$A$34,$L399))</f>
        <v/>
      </c>
      <c r="B399" s="21" t="str">
        <f>IF($L399="","",INDEX('Packet Builder'!$B$5:$B$34,$L399))</f>
        <v/>
      </c>
      <c r="C399" s="22" t="str">
        <f>IF($L399="","",ROWS($L$5:L399)-(INDEX('Packet Builder'!$O$5:$O$34,$L399)-$M399-1))</f>
        <v/>
      </c>
      <c r="D399" s="22" t="str">
        <f>IF($L399="","",IF($C399&gt;$M399,"EOF",IFERROR(VALUE(TRIM(MID(SUBSTITUTE(INDEX('Packet Builder'!$P$5:$P$34,$L399),",",REPT(" ",LEN(INDEX('Packet Builder'!$P$5:$P$34,$L399)))),($C399-1)*LEN(INDEX('Packet Builder'!$P$5:$P$34,$L399))+1,LEN(INDEX('Packet Builder'!$P$5:$P$34,$L399))))),"ERR")))</f>
        <v/>
      </c>
      <c r="E399" s="21" t="str">
        <f>IF($L399="","",IF($C399&gt;$M399,"End of Frame Delimiter",IFERROR(INDEX(Fields!$B$5:$B$48,MATCH($D399,Fields!$A$5:$A$48,0)),"MISSING")))</f>
        <v/>
      </c>
      <c r="F399" s="22" t="str">
        <f>IF($L399="","",SUMIF($L$5:L399,L399,$G$5:G399)-G399)</f>
        <v/>
      </c>
      <c r="G399" s="22" t="str">
        <f>IF($L399="","",IF($C399&gt;$M399,Overview!$B$26,IFERROR(INDEX(Fields!$F$5:$F$48,MATCH($D399,Fields!$A$5:$A$48,0)),0)))</f>
        <v/>
      </c>
      <c r="H399" s="22" t="str">
        <f t="shared" si="6"/>
        <v/>
      </c>
      <c r="I399" s="21" t="str">
        <f>IF($L399="","",IF($C399&gt;$M399,IF(Overview!$B$26=1,"uint8","uint8["&amp;Overview!$B$26&amp;"]"),IFERROR(INDEX(Fields!$E$5:$E$48,MATCH($D399,Fields!$A$5:$A$48,0)),"MISSING")))</f>
        <v/>
      </c>
      <c r="J399" s="21" t="str">
        <f>IF($L399="","",IF($C399&gt;$M399,"Fixed end-of-frame delimiter, value "&amp;Overview!$B$25&amp;".",IFERROR(INDEX(Fields!$G$5:$G$48,MATCH($D399,Fields!$A$5:$A$48,0)),"MISSING")))</f>
        <v/>
      </c>
      <c r="K399" s="21" t="str">
        <f>IF($L399="","",IF($C399&gt;$M399,"n/a",IFERROR(INDEX(Fields!$H$5:$H$48,MATCH($D399,Fields!$A$5:$A$48,0)),"MISSING")))</f>
        <v/>
      </c>
      <c r="L399" s="23" t="str">
        <f>IF(ROWS($L$5:L399)&gt;MAX('Packet Builder'!$O$5:$O$34),"",COUNTIF('Packet Builder'!$O$5:$O$34,"&lt;"&amp;ROWS($L$5:L399))+1)</f>
        <v/>
      </c>
      <c r="M399" s="23" t="str">
        <f>IF($L399="","",INDEX('Packet Builder'!$F$5:$F$34,$L399))</f>
        <v/>
      </c>
    </row>
    <row r="400" spans="1:13" x14ac:dyDescent="0.35">
      <c r="A400" s="21" t="str">
        <f>IF($L400="","",INDEX('Packet Builder'!$A$5:$A$34,$L400))</f>
        <v/>
      </c>
      <c r="B400" s="21" t="str">
        <f>IF($L400="","",INDEX('Packet Builder'!$B$5:$B$34,$L400))</f>
        <v/>
      </c>
      <c r="C400" s="22" t="str">
        <f>IF($L400="","",ROWS($L$5:L400)-(INDEX('Packet Builder'!$O$5:$O$34,$L400)-$M400-1))</f>
        <v/>
      </c>
      <c r="D400" s="22" t="str">
        <f>IF($L400="","",IF($C400&gt;$M400,"EOF",IFERROR(VALUE(TRIM(MID(SUBSTITUTE(INDEX('Packet Builder'!$P$5:$P$34,$L400),",",REPT(" ",LEN(INDEX('Packet Builder'!$P$5:$P$34,$L400)))),($C400-1)*LEN(INDEX('Packet Builder'!$P$5:$P$34,$L400))+1,LEN(INDEX('Packet Builder'!$P$5:$P$34,$L400))))),"ERR")))</f>
        <v/>
      </c>
      <c r="E400" s="21" t="str">
        <f>IF($L400="","",IF($C400&gt;$M400,"End of Frame Delimiter",IFERROR(INDEX(Fields!$B$5:$B$48,MATCH($D400,Fields!$A$5:$A$48,0)),"MISSING")))</f>
        <v/>
      </c>
      <c r="F400" s="22" t="str">
        <f>IF($L400="","",SUMIF($L$5:L400,L400,$G$5:G400)-G400)</f>
        <v/>
      </c>
      <c r="G400" s="22" t="str">
        <f>IF($L400="","",IF($C400&gt;$M400,Overview!$B$26,IFERROR(INDEX(Fields!$F$5:$F$48,MATCH($D400,Fields!$A$5:$A$48,0)),0)))</f>
        <v/>
      </c>
      <c r="H400" s="22" t="str">
        <f t="shared" si="6"/>
        <v/>
      </c>
      <c r="I400" s="21" t="str">
        <f>IF($L400="","",IF($C400&gt;$M400,IF(Overview!$B$26=1,"uint8","uint8["&amp;Overview!$B$26&amp;"]"),IFERROR(INDEX(Fields!$E$5:$E$48,MATCH($D400,Fields!$A$5:$A$48,0)),"MISSING")))</f>
        <v/>
      </c>
      <c r="J400" s="21" t="str">
        <f>IF($L400="","",IF($C400&gt;$M400,"Fixed end-of-frame delimiter, value "&amp;Overview!$B$25&amp;".",IFERROR(INDEX(Fields!$G$5:$G$48,MATCH($D400,Fields!$A$5:$A$48,0)),"MISSING")))</f>
        <v/>
      </c>
      <c r="K400" s="21" t="str">
        <f>IF($L400="","",IF($C400&gt;$M400,"n/a",IFERROR(INDEX(Fields!$H$5:$H$48,MATCH($D400,Fields!$A$5:$A$48,0)),"MISSING")))</f>
        <v/>
      </c>
      <c r="L400" s="23" t="str">
        <f>IF(ROWS($L$5:L400)&gt;MAX('Packet Builder'!$O$5:$O$34),"",COUNTIF('Packet Builder'!$O$5:$O$34,"&lt;"&amp;ROWS($L$5:L400))+1)</f>
        <v/>
      </c>
      <c r="M400" s="23" t="str">
        <f>IF($L400="","",INDEX('Packet Builder'!$F$5:$F$34,$L400))</f>
        <v/>
      </c>
    </row>
    <row r="401" spans="1:13" x14ac:dyDescent="0.35">
      <c r="A401" s="21" t="str">
        <f>IF($L401="","",INDEX('Packet Builder'!$A$5:$A$34,$L401))</f>
        <v/>
      </c>
      <c r="B401" s="21" t="str">
        <f>IF($L401="","",INDEX('Packet Builder'!$B$5:$B$34,$L401))</f>
        <v/>
      </c>
      <c r="C401" s="22" t="str">
        <f>IF($L401="","",ROWS($L$5:L401)-(INDEX('Packet Builder'!$O$5:$O$34,$L401)-$M401-1))</f>
        <v/>
      </c>
      <c r="D401" s="22" t="str">
        <f>IF($L401="","",IF($C401&gt;$M401,"EOF",IFERROR(VALUE(TRIM(MID(SUBSTITUTE(INDEX('Packet Builder'!$P$5:$P$34,$L401),",",REPT(" ",LEN(INDEX('Packet Builder'!$P$5:$P$34,$L401)))),($C401-1)*LEN(INDEX('Packet Builder'!$P$5:$P$34,$L401))+1,LEN(INDEX('Packet Builder'!$P$5:$P$34,$L401))))),"ERR")))</f>
        <v/>
      </c>
      <c r="E401" s="21" t="str">
        <f>IF($L401="","",IF($C401&gt;$M401,"End of Frame Delimiter",IFERROR(INDEX(Fields!$B$5:$B$48,MATCH($D401,Fields!$A$5:$A$48,0)),"MISSING")))</f>
        <v/>
      </c>
      <c r="F401" s="22" t="str">
        <f>IF($L401="","",SUMIF($L$5:L401,L401,$G$5:G401)-G401)</f>
        <v/>
      </c>
      <c r="G401" s="22" t="str">
        <f>IF($L401="","",IF($C401&gt;$M401,Overview!$B$26,IFERROR(INDEX(Fields!$F$5:$F$48,MATCH($D401,Fields!$A$5:$A$48,0)),0)))</f>
        <v/>
      </c>
      <c r="H401" s="22" t="str">
        <f t="shared" si="6"/>
        <v/>
      </c>
      <c r="I401" s="21" t="str">
        <f>IF($L401="","",IF($C401&gt;$M401,IF(Overview!$B$26=1,"uint8","uint8["&amp;Overview!$B$26&amp;"]"),IFERROR(INDEX(Fields!$E$5:$E$48,MATCH($D401,Fields!$A$5:$A$48,0)),"MISSING")))</f>
        <v/>
      </c>
      <c r="J401" s="21" t="str">
        <f>IF($L401="","",IF($C401&gt;$M401,"Fixed end-of-frame delimiter, value "&amp;Overview!$B$25&amp;".",IFERROR(INDEX(Fields!$G$5:$G$48,MATCH($D401,Fields!$A$5:$A$48,0)),"MISSING")))</f>
        <v/>
      </c>
      <c r="K401" s="21" t="str">
        <f>IF($L401="","",IF($C401&gt;$M401,"n/a",IFERROR(INDEX(Fields!$H$5:$H$48,MATCH($D401,Fields!$A$5:$A$48,0)),"MISSING")))</f>
        <v/>
      </c>
      <c r="L401" s="23" t="str">
        <f>IF(ROWS($L$5:L401)&gt;MAX('Packet Builder'!$O$5:$O$34),"",COUNTIF('Packet Builder'!$O$5:$O$34,"&lt;"&amp;ROWS($L$5:L401))+1)</f>
        <v/>
      </c>
      <c r="M401" s="23" t="str">
        <f>IF($L401="","",INDEX('Packet Builder'!$F$5:$F$34,$L401))</f>
        <v/>
      </c>
    </row>
    <row r="402" spans="1:13" x14ac:dyDescent="0.35">
      <c r="A402" s="21" t="str">
        <f>IF($L402="","",INDEX('Packet Builder'!$A$5:$A$34,$L402))</f>
        <v/>
      </c>
      <c r="B402" s="21" t="str">
        <f>IF($L402="","",INDEX('Packet Builder'!$B$5:$B$34,$L402))</f>
        <v/>
      </c>
      <c r="C402" s="22" t="str">
        <f>IF($L402="","",ROWS($L$5:L402)-(INDEX('Packet Builder'!$O$5:$O$34,$L402)-$M402-1))</f>
        <v/>
      </c>
      <c r="D402" s="22" t="str">
        <f>IF($L402="","",IF($C402&gt;$M402,"EOF",IFERROR(VALUE(TRIM(MID(SUBSTITUTE(INDEX('Packet Builder'!$P$5:$P$34,$L402),",",REPT(" ",LEN(INDEX('Packet Builder'!$P$5:$P$34,$L402)))),($C402-1)*LEN(INDEX('Packet Builder'!$P$5:$P$34,$L402))+1,LEN(INDEX('Packet Builder'!$P$5:$P$34,$L402))))),"ERR")))</f>
        <v/>
      </c>
      <c r="E402" s="21" t="str">
        <f>IF($L402="","",IF($C402&gt;$M402,"End of Frame Delimiter",IFERROR(INDEX(Fields!$B$5:$B$48,MATCH($D402,Fields!$A$5:$A$48,0)),"MISSING")))</f>
        <v/>
      </c>
      <c r="F402" s="22" t="str">
        <f>IF($L402="","",SUMIF($L$5:L402,L402,$G$5:G402)-G402)</f>
        <v/>
      </c>
      <c r="G402" s="22" t="str">
        <f>IF($L402="","",IF($C402&gt;$M402,Overview!$B$26,IFERROR(INDEX(Fields!$F$5:$F$48,MATCH($D402,Fields!$A$5:$A$48,0)),0)))</f>
        <v/>
      </c>
      <c r="H402" s="22" t="str">
        <f t="shared" si="6"/>
        <v/>
      </c>
      <c r="I402" s="21" t="str">
        <f>IF($L402="","",IF($C402&gt;$M402,IF(Overview!$B$26=1,"uint8","uint8["&amp;Overview!$B$26&amp;"]"),IFERROR(INDEX(Fields!$E$5:$E$48,MATCH($D402,Fields!$A$5:$A$48,0)),"MISSING")))</f>
        <v/>
      </c>
      <c r="J402" s="21" t="str">
        <f>IF($L402="","",IF($C402&gt;$M402,"Fixed end-of-frame delimiter, value "&amp;Overview!$B$25&amp;".",IFERROR(INDEX(Fields!$G$5:$G$48,MATCH($D402,Fields!$A$5:$A$48,0)),"MISSING")))</f>
        <v/>
      </c>
      <c r="K402" s="21" t="str">
        <f>IF($L402="","",IF($C402&gt;$M402,"n/a",IFERROR(INDEX(Fields!$H$5:$H$48,MATCH($D402,Fields!$A$5:$A$48,0)),"MISSING")))</f>
        <v/>
      </c>
      <c r="L402" s="23" t="str">
        <f>IF(ROWS($L$5:L402)&gt;MAX('Packet Builder'!$O$5:$O$34),"",COUNTIF('Packet Builder'!$O$5:$O$34,"&lt;"&amp;ROWS($L$5:L402))+1)</f>
        <v/>
      </c>
      <c r="M402" s="23" t="str">
        <f>IF($L402="","",INDEX('Packet Builder'!$F$5:$F$34,$L402))</f>
        <v/>
      </c>
    </row>
    <row r="403" spans="1:13" x14ac:dyDescent="0.35">
      <c r="A403" s="21" t="str">
        <f>IF($L403="","",INDEX('Packet Builder'!$A$5:$A$34,$L403))</f>
        <v/>
      </c>
      <c r="B403" s="21" t="str">
        <f>IF($L403="","",INDEX('Packet Builder'!$B$5:$B$34,$L403))</f>
        <v/>
      </c>
      <c r="C403" s="22" t="str">
        <f>IF($L403="","",ROWS($L$5:L403)-(INDEX('Packet Builder'!$O$5:$O$34,$L403)-$M403-1))</f>
        <v/>
      </c>
      <c r="D403" s="22" t="str">
        <f>IF($L403="","",IF($C403&gt;$M403,"EOF",IFERROR(VALUE(TRIM(MID(SUBSTITUTE(INDEX('Packet Builder'!$P$5:$P$34,$L403),",",REPT(" ",LEN(INDEX('Packet Builder'!$P$5:$P$34,$L403)))),($C403-1)*LEN(INDEX('Packet Builder'!$P$5:$P$34,$L403))+1,LEN(INDEX('Packet Builder'!$P$5:$P$34,$L403))))),"ERR")))</f>
        <v/>
      </c>
      <c r="E403" s="21" t="str">
        <f>IF($L403="","",IF($C403&gt;$M403,"End of Frame Delimiter",IFERROR(INDEX(Fields!$B$5:$B$48,MATCH($D403,Fields!$A$5:$A$48,0)),"MISSING")))</f>
        <v/>
      </c>
      <c r="F403" s="22" t="str">
        <f>IF($L403="","",SUMIF($L$5:L403,L403,$G$5:G403)-G403)</f>
        <v/>
      </c>
      <c r="G403" s="22" t="str">
        <f>IF($L403="","",IF($C403&gt;$M403,Overview!$B$26,IFERROR(INDEX(Fields!$F$5:$F$48,MATCH($D403,Fields!$A$5:$A$48,0)),0)))</f>
        <v/>
      </c>
      <c r="H403" s="22" t="str">
        <f t="shared" si="6"/>
        <v/>
      </c>
      <c r="I403" s="21" t="str">
        <f>IF($L403="","",IF($C403&gt;$M403,IF(Overview!$B$26=1,"uint8","uint8["&amp;Overview!$B$26&amp;"]"),IFERROR(INDEX(Fields!$E$5:$E$48,MATCH($D403,Fields!$A$5:$A$48,0)),"MISSING")))</f>
        <v/>
      </c>
      <c r="J403" s="21" t="str">
        <f>IF($L403="","",IF($C403&gt;$M403,"Fixed end-of-frame delimiter, value "&amp;Overview!$B$25&amp;".",IFERROR(INDEX(Fields!$G$5:$G$48,MATCH($D403,Fields!$A$5:$A$48,0)),"MISSING")))</f>
        <v/>
      </c>
      <c r="K403" s="21" t="str">
        <f>IF($L403="","",IF($C403&gt;$M403,"n/a",IFERROR(INDEX(Fields!$H$5:$H$48,MATCH($D403,Fields!$A$5:$A$48,0)),"MISSING")))</f>
        <v/>
      </c>
      <c r="L403" s="23" t="str">
        <f>IF(ROWS($L$5:L403)&gt;MAX('Packet Builder'!$O$5:$O$34),"",COUNTIF('Packet Builder'!$O$5:$O$34,"&lt;"&amp;ROWS($L$5:L403))+1)</f>
        <v/>
      </c>
      <c r="M403" s="23" t="str">
        <f>IF($L403="","",INDEX('Packet Builder'!$F$5:$F$34,$L403))</f>
        <v/>
      </c>
    </row>
    <row r="404" spans="1:13" x14ac:dyDescent="0.35">
      <c r="A404" s="21" t="str">
        <f>IF($L404="","",INDEX('Packet Builder'!$A$5:$A$34,$L404))</f>
        <v/>
      </c>
      <c r="B404" s="21" t="str">
        <f>IF($L404="","",INDEX('Packet Builder'!$B$5:$B$34,$L404))</f>
        <v/>
      </c>
      <c r="C404" s="22" t="str">
        <f>IF($L404="","",ROWS($L$5:L404)-(INDEX('Packet Builder'!$O$5:$O$34,$L404)-$M404-1))</f>
        <v/>
      </c>
      <c r="D404" s="22" t="str">
        <f>IF($L404="","",IF($C404&gt;$M404,"EOF",IFERROR(VALUE(TRIM(MID(SUBSTITUTE(INDEX('Packet Builder'!$P$5:$P$34,$L404),",",REPT(" ",LEN(INDEX('Packet Builder'!$P$5:$P$34,$L404)))),($C404-1)*LEN(INDEX('Packet Builder'!$P$5:$P$34,$L404))+1,LEN(INDEX('Packet Builder'!$P$5:$P$34,$L404))))),"ERR")))</f>
        <v/>
      </c>
      <c r="E404" s="21" t="str">
        <f>IF($L404="","",IF($C404&gt;$M404,"End of Frame Delimiter",IFERROR(INDEX(Fields!$B$5:$B$48,MATCH($D404,Fields!$A$5:$A$48,0)),"MISSING")))</f>
        <v/>
      </c>
      <c r="F404" s="22" t="str">
        <f>IF($L404="","",SUMIF($L$5:L404,L404,$G$5:G404)-G404)</f>
        <v/>
      </c>
      <c r="G404" s="22" t="str">
        <f>IF($L404="","",IF($C404&gt;$M404,Overview!$B$26,IFERROR(INDEX(Fields!$F$5:$F$48,MATCH($D404,Fields!$A$5:$A$48,0)),0)))</f>
        <v/>
      </c>
      <c r="H404" s="22" t="str">
        <f t="shared" si="6"/>
        <v/>
      </c>
      <c r="I404" s="21" t="str">
        <f>IF($L404="","",IF($C404&gt;$M404,IF(Overview!$B$26=1,"uint8","uint8["&amp;Overview!$B$26&amp;"]"),IFERROR(INDEX(Fields!$E$5:$E$48,MATCH($D404,Fields!$A$5:$A$48,0)),"MISSING")))</f>
        <v/>
      </c>
      <c r="J404" s="21" t="str">
        <f>IF($L404="","",IF($C404&gt;$M404,"Fixed end-of-frame delimiter, value "&amp;Overview!$B$25&amp;".",IFERROR(INDEX(Fields!$G$5:$G$48,MATCH($D404,Fields!$A$5:$A$48,0)),"MISSING")))</f>
        <v/>
      </c>
      <c r="K404" s="21" t="str">
        <f>IF($L404="","",IF($C404&gt;$M404,"n/a",IFERROR(INDEX(Fields!$H$5:$H$48,MATCH($D404,Fields!$A$5:$A$48,0)),"MISSING")))</f>
        <v/>
      </c>
      <c r="L404" s="23" t="str">
        <f>IF(ROWS($L$5:L404)&gt;MAX('Packet Builder'!$O$5:$O$34),"",COUNTIF('Packet Builder'!$O$5:$O$34,"&lt;"&amp;ROWS($L$5:L404))+1)</f>
        <v/>
      </c>
      <c r="M404" s="23" t="str">
        <f>IF($L404="","",INDEX('Packet Builder'!$F$5:$F$34,$L404))</f>
        <v/>
      </c>
    </row>
  </sheetData>
  <autoFilter ref="A4:K404" xr:uid="{00000000-0009-0000-0000-000003000000}"/>
  <mergeCells count="2">
    <mergeCell ref="A1:K1"/>
    <mergeCell ref="A2:K2"/>
  </mergeCells>
  <conditionalFormatting sqref="A5:K404">
    <cfRule type="expression" dxfId="2" priority="2">
      <formula>AND($A5&lt;&gt;"",$C5&gt;$M5)</formula>
    </cfRule>
    <cfRule type="expression" dxfId="1" priority="3">
      <formula>AND($A5&lt;&gt;"",MOD(ROW(),2)=0,$C5&lt;=$M5)</formula>
    </cfRule>
    <cfRule type="expression" dxfId="0" priority="4">
      <formula>$A5&lt;&gt;""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Fields</vt:lpstr>
      <vt:lpstr>Packet Builder</vt:lpstr>
      <vt:lpstr>Packets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Elijah Sohn</cp:lastModifiedBy>
  <cp:revision>0</cp:revision>
  <dcterms:created xsi:type="dcterms:W3CDTF">2026-09-18T18:52:05Z</dcterms:created>
  <dcterms:modified xsi:type="dcterms:W3CDTF">2026-09-18T22:43:37Z</dcterms:modified>
  <dc:language>en-US</dc:language>
</cp:coreProperties>
</file>